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269BE606-D43B-448F-B9CA-1A0C089CDDDD}" xr6:coauthVersionLast="47" xr6:coauthVersionMax="47" xr10:uidLastSave="{00000000-0000-0000-0000-000000000000}"/>
  <bookViews>
    <workbookView xWindow="22932" yWindow="-108" windowWidth="23256" windowHeight="12576" xr2:uid="{CD892132-DAB6-4E9F-BCC9-3D646FEF3FC8}"/>
  </bookViews>
  <sheets>
    <sheet name="rgraftonrep" sheetId="4" r:id="rId1"/>
  </sheets>
  <definedNames>
    <definedName name="_xlnm.Print_Area" localSheetId="0">rgraftonrep!$A$1:$K$97</definedName>
    <definedName name="_xlnm.Print_Titles" localSheetId="0">rgraftonrep!$1:$2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G23" i="4"/>
  <c r="I23" i="4"/>
  <c r="H97" i="4"/>
  <c r="G97" i="4"/>
  <c r="I97" i="4"/>
  <c r="H85" i="4"/>
  <c r="G85" i="4"/>
  <c r="I85" i="4"/>
  <c r="H72" i="4"/>
  <c r="G72" i="4"/>
  <c r="I72" i="4"/>
  <c r="H68" i="4"/>
  <c r="G68" i="4"/>
  <c r="I68" i="4"/>
  <c r="H62" i="4"/>
  <c r="G62" i="4"/>
  <c r="I62" i="4"/>
  <c r="H58" i="4"/>
  <c r="G58" i="4"/>
  <c r="I58" i="4"/>
  <c r="H53" i="4"/>
  <c r="G53" i="4"/>
  <c r="I53" i="4"/>
  <c r="E53" i="4"/>
  <c r="H46" i="4"/>
  <c r="G46" i="4"/>
  <c r="I46" i="4"/>
  <c r="H41" i="4"/>
  <c r="G41" i="4"/>
  <c r="I41" i="4"/>
  <c r="H34" i="4"/>
  <c r="G34" i="4"/>
  <c r="I34" i="4"/>
  <c r="H29" i="4"/>
  <c r="G29" i="4"/>
  <c r="I29" i="4"/>
  <c r="I11" i="4"/>
  <c r="H11" i="4"/>
  <c r="C62" i="4"/>
  <c r="C58" i="4"/>
  <c r="C46" i="4"/>
  <c r="E41" i="4"/>
  <c r="D41" i="4"/>
  <c r="C41" i="4"/>
  <c r="C34" i="4"/>
  <c r="C23" i="4"/>
  <c r="C29" i="4"/>
  <c r="G11" i="4"/>
  <c r="D19" i="4"/>
  <c r="C19" i="4"/>
  <c r="B19" i="4"/>
  <c r="B97" i="4"/>
  <c r="C97" i="4"/>
  <c r="B41" i="4"/>
  <c r="B85" i="4"/>
  <c r="B72" i="4"/>
  <c r="C72" i="4"/>
  <c r="D72" i="4"/>
  <c r="E72" i="4"/>
  <c r="B68" i="4"/>
  <c r="B62" i="4"/>
  <c r="B58" i="4"/>
  <c r="B53" i="4"/>
  <c r="C53" i="4"/>
  <c r="D53" i="4"/>
  <c r="B46" i="4"/>
  <c r="B34" i="4"/>
  <c r="B29" i="4"/>
  <c r="B23" i="4"/>
  <c r="B11" i="4"/>
  <c r="C11" i="4"/>
  <c r="D11" i="4"/>
</calcChain>
</file>

<file path=xl/sharedStrings.xml><?xml version="1.0" encoding="utf-8"?>
<sst xmlns="http://schemas.openxmlformats.org/spreadsheetml/2006/main" count="194" uniqueCount="108">
  <si>
    <t>State of New Hampshire - 2024 General Election</t>
  </si>
  <si>
    <t>State Representative - GRAFTON County</t>
  </si>
  <si>
    <t>District No. 1 (3)</t>
  </si>
  <si>
    <t>Timothy T. Egan, d</t>
  </si>
  <si>
    <t>Linda Massimilla, d</t>
  </si>
  <si>
    <t>Vern Masters, d</t>
  </si>
  <si>
    <t>Undervotes</t>
  </si>
  <si>
    <t>Overvotes</t>
  </si>
  <si>
    <t>Write-Ins</t>
  </si>
  <si>
    <t>Bath</t>
  </si>
  <si>
    <t>Lisbon</t>
  </si>
  <si>
    <t>Littleton</t>
  </si>
  <si>
    <t>Lyman</t>
  </si>
  <si>
    <t>Monroe</t>
  </si>
  <si>
    <t>Sugar Hill</t>
  </si>
  <si>
    <t>Totals</t>
  </si>
  <si>
    <t>Joseph Barton, r</t>
  </si>
  <si>
    <t>Calvin Beaulier, r</t>
  </si>
  <si>
    <t>Darrell A. Louis, r</t>
  </si>
  <si>
    <t>District No. 2 (1)</t>
  </si>
  <si>
    <t>Jared Sullivan, d</t>
  </si>
  <si>
    <t>Eddie Qi, r</t>
  </si>
  <si>
    <t>Bethlehem</t>
  </si>
  <si>
    <t>Franconia</t>
  </si>
  <si>
    <t>District No. 3 (1)</t>
  </si>
  <si>
    <t>Jerry M. Stringham, d</t>
  </si>
  <si>
    <t>Paul H. Schirduan, r</t>
  </si>
  <si>
    <t>Easton</t>
  </si>
  <si>
    <t>Lincoln</t>
  </si>
  <si>
    <t>Livermore</t>
  </si>
  <si>
    <t>Woodstock</t>
  </si>
  <si>
    <t>District No 4 (1)</t>
  </si>
  <si>
    <t>Heather P. Baldwin, d</t>
  </si>
  <si>
    <t>Steven Babin, r</t>
  </si>
  <si>
    <t>Ellsworth</t>
  </si>
  <si>
    <t>Thornton</t>
  </si>
  <si>
    <t>Waterville Valley</t>
  </si>
  <si>
    <t>District No. 5 (2)</t>
  </si>
  <si>
    <t>Rachael E. Booth, d</t>
  </si>
  <si>
    <t>Dustin Vigneault, d</t>
  </si>
  <si>
    <t>Marie L. Bjelobrk, r</t>
  </si>
  <si>
    <t>Rick Ladd, r</t>
  </si>
  <si>
    <t>Benton</t>
  </si>
  <si>
    <t>Haverhill</t>
  </si>
  <si>
    <t>Landaff</t>
  </si>
  <si>
    <t>Piermont</t>
  </si>
  <si>
    <t>Warren</t>
  </si>
  <si>
    <t>District No. 6 (1)</t>
  </si>
  <si>
    <t>Jolene T. Farmer, d</t>
  </si>
  <si>
    <t>Linda Franz, r</t>
  </si>
  <si>
    <t>Orford</t>
  </si>
  <si>
    <t>Rumney</t>
  </si>
  <si>
    <t>Wentworth</t>
  </si>
  <si>
    <t>District No.7 (1)</t>
  </si>
  <si>
    <t>Janet Marie Lucas, d</t>
  </si>
  <si>
    <t>Jon A. Gablinske, r</t>
  </si>
  <si>
    <t>Campton</t>
  </si>
  <si>
    <t>District No 8 (3)</t>
  </si>
  <si>
    <t>Bill Bolton, d</t>
  </si>
  <si>
    <t>Sallie Fellows, d</t>
  </si>
  <si>
    <t>Peter Lovett, d</t>
  </si>
  <si>
    <t>Timothy F. Sweetsir, r</t>
  </si>
  <si>
    <t>Ashland</t>
  </si>
  <si>
    <t>Holderness</t>
  </si>
  <si>
    <t>Plymouth</t>
  </si>
  <si>
    <t>District No. 9 (1)</t>
  </si>
  <si>
    <t>Thomas Oppel, d</t>
  </si>
  <si>
    <t>Kevin M. Howard, r</t>
  </si>
  <si>
    <t>Canaan</t>
  </si>
  <si>
    <t>Dorchester</t>
  </si>
  <si>
    <t>Orange</t>
  </si>
  <si>
    <t>District No. 10 (1)</t>
  </si>
  <si>
    <t>Richard A. Lobban Jr., d</t>
  </si>
  <si>
    <t>John Sellers, r</t>
  </si>
  <si>
    <t>Bridgewater</t>
  </si>
  <si>
    <t>Bristol</t>
  </si>
  <si>
    <t>District No 11 (1)</t>
  </si>
  <si>
    <t>Lex Berezhny, r</t>
  </si>
  <si>
    <t>Alexandria</t>
  </si>
  <si>
    <t>Grafton</t>
  </si>
  <si>
    <t>Groton</t>
  </si>
  <si>
    <t>Hebron</t>
  </si>
  <si>
    <t>District No. 12 (4)</t>
  </si>
  <si>
    <t>Mary Hakken-Phillips, d</t>
  </si>
  <si>
    <t>Russell Muirhead, d</t>
  </si>
  <si>
    <t>Ellen Rockmore, d</t>
  </si>
  <si>
    <t>Terry Spahr, d</t>
  </si>
  <si>
    <t>Hanover</t>
  </si>
  <si>
    <t>Lyme</t>
  </si>
  <si>
    <t>TOTALS</t>
  </si>
  <si>
    <t>District No. 13 (1)</t>
  </si>
  <si>
    <t>Laurel Stavis, d</t>
  </si>
  <si>
    <t>Lebanon Ward 1</t>
  </si>
  <si>
    <t>District No. 14 (1)</t>
  </si>
  <si>
    <t>George Sykes, d</t>
  </si>
  <si>
    <t>Lebanon Ward 2</t>
  </si>
  <si>
    <t>District No. 15 (1)</t>
  </si>
  <si>
    <t>Thomas Cormen, d</t>
  </si>
  <si>
    <t>Lebanon Ward 3</t>
  </si>
  <si>
    <t>District No. 16 (1)FL</t>
  </si>
  <si>
    <t>David Fracht, d</t>
  </si>
  <si>
    <t>Enfield</t>
  </si>
  <si>
    <t>District No. 17 (1)FL</t>
  </si>
  <si>
    <t>Susan Almy, d</t>
  </si>
  <si>
    <t>District No. 18 (1)FL</t>
  </si>
  <si>
    <t>Carolyn Fluehr-Lobban, d</t>
  </si>
  <si>
    <t>Donald McFarlane, r</t>
  </si>
  <si>
    <t>RECOUNT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</si>
</sst>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4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B0F0"/>
      <name val="Times New Roman"/>
      <family val="1"/>
    </font>
    <font>
      <b/>
      <sz val="9"/>
      <color rgb="FFFF000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</cellStyleXfs>
  <cellXfs count="56"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4" fillId="2" borderId="0" xfId="0" applyFont="1" applyFill="1" applyAlignment="1">
      <alignment textRotation="42"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textRotation="45"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8" fillId="0" borderId="0" xfId="1" applyNumberFormat="1" applyFont="1"/>
    <xf numFmtId="165" fontId="4" fillId="0" borderId="0" xfId="0" applyNumberFormat="1" applyFont="1" applyAlignment="1">
      <alignment horizontal="left" wrapText="1"/>
    </xf>
    <xf numFmtId="0" fontId="7" fillId="0" borderId="1" xfId="0" applyFont="1" applyBorder="1" applyAlignment="1">
      <alignment wrapText="1"/>
    </xf>
    <xf numFmtId="0" fontId="6" fillId="2" borderId="0" xfId="0" applyFont="1" applyFill="1"/>
    <xf numFmtId="0" fontId="7" fillId="2" borderId="2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4" fillId="2" borderId="0" xfId="0" applyFont="1" applyFill="1"/>
    <xf numFmtId="0" fontId="4" fillId="0" borderId="0" xfId="0" applyFont="1"/>
    <xf numFmtId="0" fontId="7" fillId="0" borderId="4" xfId="0" applyFont="1" applyBorder="1"/>
    <xf numFmtId="0" fontId="8" fillId="0" borderId="4" xfId="0" applyFont="1" applyBorder="1"/>
    <xf numFmtId="0" fontId="8" fillId="0" borderId="5" xfId="0" applyFont="1" applyBorder="1"/>
    <xf numFmtId="0" fontId="6" fillId="0" borderId="5" xfId="0" applyFont="1" applyBorder="1" applyAlignment="1">
      <alignment wrapText="1"/>
    </xf>
    <xf numFmtId="164" fontId="8" fillId="0" borderId="5" xfId="1" applyNumberFormat="1" applyFont="1" applyBorder="1"/>
    <xf numFmtId="0" fontId="10" fillId="0" borderId="0" xfId="0" applyFont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5" xfId="0" applyFont="1" applyBorder="1"/>
    <xf numFmtId="0" fontId="9" fillId="0" borderId="1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/>
    </xf>
    <xf numFmtId="0" fontId="6" fillId="0" borderId="4" xfId="0" applyFont="1" applyBorder="1"/>
    <xf numFmtId="0" fontId="6" fillId="0" borderId="7" xfId="0" applyFont="1" applyBorder="1"/>
    <xf numFmtId="0" fontId="8" fillId="2" borderId="0" xfId="0" applyFont="1" applyFill="1"/>
    <xf numFmtId="0" fontId="8" fillId="2" borderId="8" xfId="0" applyFont="1" applyFill="1" applyBorder="1"/>
    <xf numFmtId="0" fontId="8" fillId="2" borderId="9" xfId="0" applyFont="1" applyFill="1" applyBorder="1"/>
    <xf numFmtId="0" fontId="9" fillId="0" borderId="0" xfId="0" applyFont="1" applyAlignment="1">
      <alignment horizontal="right"/>
    </xf>
    <xf numFmtId="0" fontId="8" fillId="0" borderId="0" xfId="1" applyNumberFormat="1" applyFont="1" applyBorder="1"/>
    <xf numFmtId="0" fontId="8" fillId="0" borderId="5" xfId="1" applyNumberFormat="1" applyFont="1" applyBorder="1"/>
    <xf numFmtId="0" fontId="12" fillId="0" borderId="1" xfId="0" applyFont="1" applyBorder="1" applyAlignment="1">
      <alignment horizontal="center"/>
    </xf>
    <xf numFmtId="0" fontId="13" fillId="0" borderId="0" xfId="0" applyFont="1"/>
    <xf numFmtId="0" fontId="9" fillId="0" borderId="13" xfId="0" applyFont="1" applyBorder="1" applyAlignment="1">
      <alignment horizontal="center" vertical="center" textRotation="90" wrapText="1"/>
    </xf>
    <xf numFmtId="0" fontId="8" fillId="0" borderId="14" xfId="0" applyFont="1" applyBorder="1"/>
    <xf numFmtId="0" fontId="12" fillId="0" borderId="15" xfId="0" applyFont="1" applyBorder="1" applyAlignment="1">
      <alignment horizontal="center" textRotation="90"/>
    </xf>
    <xf numFmtId="0" fontId="13" fillId="2" borderId="16" xfId="0" applyFont="1" applyFill="1" applyBorder="1" applyAlignment="1">
      <alignment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4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</cellXfs>
  <cellStyles count="8">
    <cellStyle name="Comma" xfId="1" builtinId="3"/>
    <cellStyle name="Normal" xfId="0" builtinId="0"/>
    <cellStyle name="Normal 2 2" xfId="2" xr:uid="{360BC849-8F08-4A4E-B110-6B6CD959C5DD}"/>
    <cellStyle name="Normal 2 2 2" xfId="3" xr:uid="{4E340D32-599B-48F7-88A9-610442E9BA3D}"/>
    <cellStyle name="Normal 2 3" xfId="4" xr:uid="{E2F0C26D-CA5D-4C6A-8BFB-A777B60F86FD}"/>
    <cellStyle name="Normal 2 3 2" xfId="5" xr:uid="{9B9830F8-98F0-40F4-83E7-65480A7642EC}"/>
    <cellStyle name="Normal 2 4" xfId="6" xr:uid="{7969DD70-A3B3-4A18-B2A6-18A98B247B60}"/>
    <cellStyle name="Normal 3 2" xfId="7" xr:uid="{A6BD493D-8B6E-47F7-ABC0-B4C1BF298A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1141-EAFC-4E91-9C2E-B7079D74F893}">
  <sheetPr>
    <tabColor rgb="FF00B050"/>
  </sheetPr>
  <dimension ref="A1:M98"/>
  <sheetViews>
    <sheetView tabSelected="1" topLeftCell="A78" zoomScale="130" zoomScaleNormal="130" workbookViewId="0">
      <selection activeCell="B93" sqref="B93"/>
    </sheetView>
  </sheetViews>
  <sheetFormatPr defaultColWidth="11.44140625" defaultRowHeight="13.2" x14ac:dyDescent="0.25"/>
  <cols>
    <col min="1" max="1" width="20" style="4" customWidth="1"/>
    <col min="2" max="2" width="19.6640625" style="4" bestFit="1" customWidth="1"/>
    <col min="3" max="3" width="15.88671875" style="4" customWidth="1"/>
    <col min="4" max="4" width="15.88671875" style="4" bestFit="1" customWidth="1"/>
    <col min="5" max="5" width="11.44140625" style="4" customWidth="1"/>
    <col min="6" max="6" width="8.44140625" style="4" bestFit="1" customWidth="1"/>
    <col min="7" max="7" width="9.6640625" style="4" customWidth="1"/>
    <col min="8" max="8" width="11.44140625" style="4" customWidth="1"/>
    <col min="9" max="9" width="11.44140625" style="5" customWidth="1"/>
    <col min="10" max="10" width="2.88671875" style="5" bestFit="1" customWidth="1"/>
    <col min="11" max="11" width="2.77734375" style="5" bestFit="1" customWidth="1"/>
    <col min="12" max="13" width="11.44140625" style="5"/>
    <col min="14" max="16384" width="11.44140625" style="4"/>
  </cols>
  <sheetData>
    <row r="1" spans="1:13" x14ac:dyDescent="0.25">
      <c r="A1" s="50" t="s">
        <v>0</v>
      </c>
      <c r="B1" s="51"/>
      <c r="C1" s="51"/>
      <c r="D1" s="51"/>
      <c r="E1" s="51"/>
      <c r="F1" s="51"/>
      <c r="G1" s="51"/>
      <c r="H1" s="51"/>
      <c r="I1" s="52"/>
    </row>
    <row r="2" spans="1:13" ht="12.75" customHeight="1" x14ac:dyDescent="0.25">
      <c r="A2" s="53" t="s">
        <v>1</v>
      </c>
      <c r="B2" s="54"/>
      <c r="C2" s="54"/>
      <c r="D2" s="54"/>
      <c r="E2" s="54"/>
      <c r="F2" s="54"/>
      <c r="G2" s="54"/>
      <c r="H2" s="54"/>
      <c r="I2" s="55"/>
    </row>
    <row r="3" spans="1:13" ht="15.6" customHeight="1" thickBot="1" x14ac:dyDescent="0.3">
      <c r="A3" s="15">
        <v>45601</v>
      </c>
      <c r="B3" s="28"/>
      <c r="C3" s="28"/>
      <c r="D3" s="28"/>
      <c r="E3" s="28"/>
      <c r="F3" s="28"/>
      <c r="G3" s="28"/>
      <c r="H3" s="28"/>
      <c r="I3" s="29"/>
    </row>
    <row r="4" spans="1:13" s="8" customFormat="1" ht="13.8" thickTop="1" x14ac:dyDescent="0.25">
      <c r="A4" s="16" t="s">
        <v>2</v>
      </c>
      <c r="B4" s="30" t="s">
        <v>3</v>
      </c>
      <c r="C4" s="30" t="s">
        <v>4</v>
      </c>
      <c r="D4" s="30" t="s">
        <v>5</v>
      </c>
      <c r="E4" s="30"/>
      <c r="F4" s="30"/>
      <c r="G4" s="30" t="s">
        <v>6</v>
      </c>
      <c r="H4" s="30" t="s">
        <v>7</v>
      </c>
      <c r="I4" s="31" t="s">
        <v>8</v>
      </c>
      <c r="J4" s="6"/>
      <c r="K4" s="7"/>
      <c r="L4" s="7"/>
    </row>
    <row r="5" spans="1:13" x14ac:dyDescent="0.25">
      <c r="A5" s="2" t="s">
        <v>9</v>
      </c>
      <c r="B5" s="2">
        <v>233</v>
      </c>
      <c r="C5" s="2">
        <v>246</v>
      </c>
      <c r="D5" s="2">
        <v>212</v>
      </c>
      <c r="E5" s="2"/>
      <c r="F5" s="2"/>
      <c r="G5" s="2">
        <v>293</v>
      </c>
      <c r="H5" s="2">
        <v>0</v>
      </c>
      <c r="I5" s="25">
        <v>0</v>
      </c>
      <c r="M5" s="4"/>
    </row>
    <row r="6" spans="1:13" x14ac:dyDescent="0.25">
      <c r="A6" s="2" t="s">
        <v>10</v>
      </c>
      <c r="B6" s="2">
        <v>336</v>
      </c>
      <c r="C6" s="2">
        <v>354</v>
      </c>
      <c r="D6" s="2">
        <v>297</v>
      </c>
      <c r="E6" s="2"/>
      <c r="F6" s="2"/>
      <c r="G6" s="2">
        <v>376</v>
      </c>
      <c r="H6" s="2">
        <v>0</v>
      </c>
      <c r="I6" s="25">
        <v>1</v>
      </c>
      <c r="M6" s="4"/>
    </row>
    <row r="7" spans="1:13" x14ac:dyDescent="0.25">
      <c r="A7" s="2" t="s">
        <v>11</v>
      </c>
      <c r="B7" s="2">
        <v>1346</v>
      </c>
      <c r="C7" s="2">
        <v>1512</v>
      </c>
      <c r="D7" s="2">
        <v>1129</v>
      </c>
      <c r="E7" s="2"/>
      <c r="F7" s="2"/>
      <c r="G7" s="2">
        <v>1188</v>
      </c>
      <c r="H7" s="2">
        <v>0</v>
      </c>
      <c r="I7" s="25">
        <v>0</v>
      </c>
      <c r="M7" s="4"/>
    </row>
    <row r="8" spans="1:13" x14ac:dyDescent="0.25">
      <c r="A8" s="2" t="s">
        <v>12</v>
      </c>
      <c r="B8" s="2">
        <v>144</v>
      </c>
      <c r="C8" s="2">
        <v>159</v>
      </c>
      <c r="D8" s="2">
        <v>125</v>
      </c>
      <c r="E8" s="2"/>
      <c r="F8" s="2"/>
      <c r="G8" s="2">
        <v>175</v>
      </c>
      <c r="H8" s="2">
        <v>0</v>
      </c>
      <c r="I8" s="25">
        <v>0</v>
      </c>
      <c r="M8" s="4"/>
    </row>
    <row r="9" spans="1:13" x14ac:dyDescent="0.25">
      <c r="A9" s="2" t="s">
        <v>13</v>
      </c>
      <c r="B9" s="2">
        <v>201</v>
      </c>
      <c r="C9" s="2">
        <v>211</v>
      </c>
      <c r="D9" s="2">
        <v>182</v>
      </c>
      <c r="E9" s="2"/>
      <c r="F9" s="2"/>
      <c r="G9" s="2">
        <v>0</v>
      </c>
      <c r="H9" s="2">
        <v>0</v>
      </c>
      <c r="I9" s="25">
        <v>0</v>
      </c>
      <c r="M9" s="4"/>
    </row>
    <row r="10" spans="1:13" x14ac:dyDescent="0.25">
      <c r="A10" s="2" t="s">
        <v>14</v>
      </c>
      <c r="B10" s="2">
        <v>291</v>
      </c>
      <c r="C10" s="2">
        <v>273</v>
      </c>
      <c r="D10" s="2">
        <v>258</v>
      </c>
      <c r="E10" s="2"/>
      <c r="F10" s="2"/>
      <c r="G10" s="2">
        <v>159</v>
      </c>
      <c r="H10" s="2">
        <v>0</v>
      </c>
      <c r="I10" s="25">
        <v>0</v>
      </c>
      <c r="M10" s="4"/>
    </row>
    <row r="11" spans="1:13" x14ac:dyDescent="0.25">
      <c r="A11" s="1" t="s">
        <v>15</v>
      </c>
      <c r="B11" s="2">
        <f>SUM(B5:B10)</f>
        <v>2551</v>
      </c>
      <c r="C11" s="2">
        <f>SUM(C5:C10)</f>
        <v>2755</v>
      </c>
      <c r="D11" s="2">
        <f>SUM(D5:D10)</f>
        <v>2203</v>
      </c>
      <c r="E11" s="2"/>
      <c r="F11" s="2"/>
      <c r="G11" s="2">
        <f>SUM(G5:G10)</f>
        <v>2191</v>
      </c>
      <c r="H11" s="2">
        <f>SUM(H5:H10)</f>
        <v>0</v>
      </c>
      <c r="I11" s="25">
        <f>SUM(I5:I10)</f>
        <v>1</v>
      </c>
      <c r="M11" s="4"/>
    </row>
    <row r="12" spans="1:13" x14ac:dyDescent="0.25">
      <c r="A12" s="1"/>
      <c r="B12" s="32" t="s">
        <v>16</v>
      </c>
      <c r="C12" s="32" t="s">
        <v>17</v>
      </c>
      <c r="D12" s="32" t="s">
        <v>18</v>
      </c>
      <c r="E12" s="32"/>
      <c r="F12" s="2"/>
      <c r="G12" s="2"/>
      <c r="H12" s="2"/>
      <c r="I12" s="25"/>
    </row>
    <row r="13" spans="1:13" x14ac:dyDescent="0.25">
      <c r="A13" s="2" t="s">
        <v>9</v>
      </c>
      <c r="B13" s="2">
        <v>394</v>
      </c>
      <c r="C13" s="2">
        <v>368</v>
      </c>
      <c r="D13" s="2">
        <v>366</v>
      </c>
      <c r="E13" s="2"/>
      <c r="F13" s="2"/>
      <c r="G13" s="2"/>
      <c r="H13" s="2"/>
      <c r="I13" s="25"/>
    </row>
    <row r="14" spans="1:13" x14ac:dyDescent="0.25">
      <c r="A14" s="2" t="s">
        <v>10</v>
      </c>
      <c r="B14" s="2">
        <v>432</v>
      </c>
      <c r="C14" s="2">
        <v>389</v>
      </c>
      <c r="D14" s="2">
        <v>410</v>
      </c>
      <c r="E14" s="2"/>
      <c r="F14" s="2"/>
      <c r="G14" s="2"/>
      <c r="H14" s="2"/>
      <c r="I14" s="25"/>
    </row>
    <row r="15" spans="1:13" x14ac:dyDescent="0.25">
      <c r="A15" s="2" t="s">
        <v>11</v>
      </c>
      <c r="B15" s="2">
        <v>1526</v>
      </c>
      <c r="C15" s="2">
        <v>1498</v>
      </c>
      <c r="D15" s="2">
        <v>1802</v>
      </c>
      <c r="E15" s="2"/>
      <c r="F15" s="2"/>
      <c r="G15" s="2"/>
      <c r="H15" s="2"/>
      <c r="I15" s="25"/>
    </row>
    <row r="16" spans="1:13" x14ac:dyDescent="0.25">
      <c r="A16" s="2" t="s">
        <v>12</v>
      </c>
      <c r="B16" s="4">
        <v>200</v>
      </c>
      <c r="C16" s="4">
        <v>180</v>
      </c>
      <c r="D16" s="4">
        <v>193</v>
      </c>
      <c r="E16" s="2"/>
      <c r="F16" s="2"/>
      <c r="G16" s="2"/>
      <c r="H16" s="2"/>
      <c r="I16" s="25"/>
    </row>
    <row r="17" spans="1:13" x14ac:dyDescent="0.25">
      <c r="A17" s="2" t="s">
        <v>13</v>
      </c>
      <c r="B17" s="2">
        <v>323</v>
      </c>
      <c r="C17" s="2">
        <v>304</v>
      </c>
      <c r="D17" s="2">
        <v>305</v>
      </c>
      <c r="E17" s="2"/>
      <c r="F17" s="2"/>
      <c r="G17" s="2"/>
      <c r="H17" s="2"/>
      <c r="I17" s="25"/>
    </row>
    <row r="18" spans="1:13" x14ac:dyDescent="0.25">
      <c r="A18" s="2" t="s">
        <v>14</v>
      </c>
      <c r="B18" s="2">
        <v>164</v>
      </c>
      <c r="C18" s="2">
        <v>172</v>
      </c>
      <c r="D18" s="2">
        <v>162</v>
      </c>
      <c r="E18" s="2"/>
      <c r="F18" s="2"/>
      <c r="G18" s="2"/>
      <c r="H18" s="2"/>
      <c r="I18" s="25"/>
    </row>
    <row r="19" spans="1:13" ht="13.8" thickBot="1" x14ac:dyDescent="0.3">
      <c r="A19" s="1" t="s">
        <v>15</v>
      </c>
      <c r="B19" s="2">
        <f>SUM(B13:B18)</f>
        <v>3039</v>
      </c>
      <c r="C19" s="2">
        <f>SUM(C13:C18)</f>
        <v>2911</v>
      </c>
      <c r="D19" s="2">
        <f>SUM(D13:D18)</f>
        <v>3238</v>
      </c>
      <c r="E19" s="2"/>
      <c r="F19" s="2"/>
      <c r="G19" s="2"/>
      <c r="H19" s="2"/>
      <c r="I19" s="25"/>
    </row>
    <row r="20" spans="1:13" s="8" customFormat="1" ht="13.8" thickTop="1" x14ac:dyDescent="0.25">
      <c r="A20" s="10" t="s">
        <v>19</v>
      </c>
      <c r="B20" s="13" t="s">
        <v>20</v>
      </c>
      <c r="C20" s="13" t="s">
        <v>21</v>
      </c>
      <c r="D20" s="13"/>
      <c r="E20" s="13"/>
      <c r="F20" s="11"/>
      <c r="G20" s="30" t="s">
        <v>6</v>
      </c>
      <c r="H20" s="30" t="s">
        <v>7</v>
      </c>
      <c r="I20" s="31" t="s">
        <v>8</v>
      </c>
      <c r="J20" s="7"/>
      <c r="K20" s="7"/>
      <c r="L20" s="7"/>
    </row>
    <row r="21" spans="1:13" s="8" customFormat="1" x14ac:dyDescent="0.25">
      <c r="A21" s="2" t="s">
        <v>22</v>
      </c>
      <c r="B21" s="2">
        <v>1002</v>
      </c>
      <c r="C21" s="2">
        <v>583</v>
      </c>
      <c r="D21" s="2"/>
      <c r="E21" s="2"/>
      <c r="F21" s="2"/>
      <c r="G21" s="2">
        <v>72</v>
      </c>
      <c r="H21" s="2">
        <v>0</v>
      </c>
      <c r="I21" s="25">
        <v>3</v>
      </c>
      <c r="J21" s="7"/>
      <c r="K21" s="7"/>
      <c r="L21" s="7"/>
    </row>
    <row r="22" spans="1:13" s="8" customFormat="1" x14ac:dyDescent="0.25">
      <c r="A22" s="2" t="s">
        <v>23</v>
      </c>
      <c r="B22" s="2">
        <v>527</v>
      </c>
      <c r="C22" s="2">
        <v>266</v>
      </c>
      <c r="D22" s="2"/>
      <c r="E22" s="2"/>
      <c r="F22" s="2"/>
      <c r="G22" s="2">
        <v>46</v>
      </c>
      <c r="H22" s="2">
        <v>0</v>
      </c>
      <c r="I22" s="25">
        <v>0</v>
      </c>
      <c r="J22" s="7"/>
      <c r="K22" s="7"/>
      <c r="L22" s="7"/>
    </row>
    <row r="23" spans="1:13" s="8" customFormat="1" ht="13.8" thickBot="1" x14ac:dyDescent="0.3">
      <c r="A23" s="1" t="s">
        <v>15</v>
      </c>
      <c r="B23" s="3">
        <f>SUM(B21:B22)</f>
        <v>1529</v>
      </c>
      <c r="C23" s="3">
        <f>SUM(C21:C22)</f>
        <v>849</v>
      </c>
      <c r="D23" s="3"/>
      <c r="E23" s="3"/>
      <c r="F23" s="2"/>
      <c r="G23" s="3">
        <f>SUM(G21:G22)</f>
        <v>118</v>
      </c>
      <c r="H23" s="3">
        <f>SUM(H21:H22)</f>
        <v>0</v>
      </c>
      <c r="I23" s="33">
        <f>SUM(I21:I22)</f>
        <v>3</v>
      </c>
      <c r="J23" s="7"/>
      <c r="K23" s="7"/>
      <c r="L23" s="7"/>
    </row>
    <row r="24" spans="1:13" s="22" customFormat="1" ht="13.8" thickTop="1" x14ac:dyDescent="0.25">
      <c r="A24" s="10" t="s">
        <v>24</v>
      </c>
      <c r="B24" s="13" t="s">
        <v>25</v>
      </c>
      <c r="C24" s="13" t="s">
        <v>26</v>
      </c>
      <c r="D24" s="13"/>
      <c r="E24" s="13"/>
      <c r="F24" s="11"/>
      <c r="G24" s="30" t="s">
        <v>6</v>
      </c>
      <c r="H24" s="30" t="s">
        <v>7</v>
      </c>
      <c r="I24" s="31" t="s">
        <v>8</v>
      </c>
      <c r="J24" s="21"/>
      <c r="K24" s="21"/>
      <c r="L24" s="21"/>
    </row>
    <row r="25" spans="1:13" x14ac:dyDescent="0.25">
      <c r="A25" s="2" t="s">
        <v>27</v>
      </c>
      <c r="B25" s="2">
        <v>156</v>
      </c>
      <c r="C25" s="2">
        <v>80</v>
      </c>
      <c r="D25" s="2"/>
      <c r="E25" s="2"/>
      <c r="F25" s="2"/>
      <c r="G25" s="2">
        <v>7</v>
      </c>
      <c r="H25" s="2">
        <v>0</v>
      </c>
      <c r="I25" s="25">
        <v>0</v>
      </c>
      <c r="M25" s="4"/>
    </row>
    <row r="26" spans="1:13" x14ac:dyDescent="0.25">
      <c r="A26" s="2" t="s">
        <v>28</v>
      </c>
      <c r="B26" s="2">
        <v>501</v>
      </c>
      <c r="C26" s="2">
        <v>399</v>
      </c>
      <c r="D26" s="2"/>
      <c r="E26" s="2"/>
      <c r="F26" s="2"/>
      <c r="G26" s="2">
        <v>44</v>
      </c>
      <c r="H26" s="2">
        <v>2</v>
      </c>
      <c r="I26" s="25">
        <v>1</v>
      </c>
      <c r="M26" s="4"/>
    </row>
    <row r="27" spans="1:13" x14ac:dyDescent="0.25">
      <c r="A27" s="2" t="s">
        <v>29</v>
      </c>
      <c r="B27" s="2">
        <v>0</v>
      </c>
      <c r="C27" s="2">
        <v>0</v>
      </c>
      <c r="D27" s="2"/>
      <c r="E27" s="2"/>
      <c r="F27" s="2"/>
      <c r="G27" s="2">
        <v>0</v>
      </c>
      <c r="H27" s="2">
        <v>0</v>
      </c>
      <c r="I27" s="25">
        <v>0</v>
      </c>
      <c r="J27" s="4"/>
      <c r="K27" s="4"/>
      <c r="L27" s="4"/>
      <c r="M27" s="4"/>
    </row>
    <row r="28" spans="1:13" x14ac:dyDescent="0.25">
      <c r="A28" s="2" t="s">
        <v>30</v>
      </c>
      <c r="B28" s="2">
        <v>489</v>
      </c>
      <c r="C28" s="2">
        <v>342</v>
      </c>
      <c r="D28" s="2"/>
      <c r="E28" s="2"/>
      <c r="F28" s="2"/>
      <c r="G28" s="2">
        <v>28</v>
      </c>
      <c r="H28" s="2">
        <v>0</v>
      </c>
      <c r="I28" s="25">
        <v>3</v>
      </c>
      <c r="M28" s="4"/>
    </row>
    <row r="29" spans="1:13" s="8" customFormat="1" ht="13.8" thickBot="1" x14ac:dyDescent="0.3">
      <c r="A29" s="1" t="s">
        <v>15</v>
      </c>
      <c r="B29" s="3">
        <f>SUM(B25:B28)</f>
        <v>1146</v>
      </c>
      <c r="C29" s="3">
        <f>SUM(C25:C28)</f>
        <v>821</v>
      </c>
      <c r="D29" s="3"/>
      <c r="E29" s="3"/>
      <c r="F29" s="2"/>
      <c r="G29" s="3">
        <f>SUM(G25:G28)</f>
        <v>79</v>
      </c>
      <c r="H29" s="3">
        <f>SUM(H25:H28)</f>
        <v>2</v>
      </c>
      <c r="I29" s="33">
        <f>SUM(I25:I28)</f>
        <v>4</v>
      </c>
      <c r="J29" s="7"/>
      <c r="K29" s="7"/>
      <c r="L29" s="7"/>
    </row>
    <row r="30" spans="1:13" s="8" customFormat="1" ht="13.8" thickTop="1" x14ac:dyDescent="0.25">
      <c r="A30" s="10" t="s">
        <v>31</v>
      </c>
      <c r="B30" s="13" t="s">
        <v>32</v>
      </c>
      <c r="C30" s="13" t="s">
        <v>33</v>
      </c>
      <c r="D30" s="13"/>
      <c r="E30" s="12"/>
      <c r="F30" s="11"/>
      <c r="G30" s="30" t="s">
        <v>6</v>
      </c>
      <c r="H30" s="30" t="s">
        <v>7</v>
      </c>
      <c r="I30" s="31" t="s">
        <v>8</v>
      </c>
      <c r="J30" s="7"/>
      <c r="K30" s="7"/>
      <c r="L30" s="7"/>
    </row>
    <row r="31" spans="1:13" ht="12" customHeight="1" x14ac:dyDescent="0.25">
      <c r="A31" s="2" t="s">
        <v>34</v>
      </c>
      <c r="B31" s="2">
        <v>35</v>
      </c>
      <c r="C31" s="2">
        <v>37</v>
      </c>
      <c r="D31" s="2"/>
      <c r="E31" s="2"/>
      <c r="F31" s="2"/>
      <c r="G31" s="2">
        <v>2</v>
      </c>
      <c r="H31" s="2">
        <v>0</v>
      </c>
      <c r="I31" s="25">
        <v>0</v>
      </c>
      <c r="M31" s="4"/>
    </row>
    <row r="32" spans="1:13" ht="12.6" customHeight="1" x14ac:dyDescent="0.25">
      <c r="A32" s="2" t="s">
        <v>35</v>
      </c>
      <c r="B32" s="2">
        <v>954</v>
      </c>
      <c r="C32" s="2">
        <v>830</v>
      </c>
      <c r="D32" s="2"/>
      <c r="E32" s="2"/>
      <c r="F32" s="2"/>
      <c r="G32" s="2">
        <v>60</v>
      </c>
      <c r="H32" s="2">
        <v>0</v>
      </c>
      <c r="I32" s="25">
        <v>1</v>
      </c>
      <c r="M32" s="4"/>
    </row>
    <row r="33" spans="1:13" ht="15.6" customHeight="1" x14ac:dyDescent="0.25">
      <c r="A33" s="2" t="s">
        <v>36</v>
      </c>
      <c r="B33" s="2">
        <v>222</v>
      </c>
      <c r="C33" s="2">
        <v>179</v>
      </c>
      <c r="D33" s="2"/>
      <c r="E33" s="2"/>
      <c r="F33" s="2"/>
      <c r="G33" s="2">
        <v>28</v>
      </c>
      <c r="H33" s="2">
        <v>0</v>
      </c>
      <c r="I33" s="25">
        <v>0</v>
      </c>
      <c r="M33" s="4"/>
    </row>
    <row r="34" spans="1:13" ht="12" customHeight="1" thickBot="1" x14ac:dyDescent="0.3">
      <c r="A34" s="1" t="s">
        <v>15</v>
      </c>
      <c r="B34" s="2">
        <f>SUM(B31:B33)</f>
        <v>1211</v>
      </c>
      <c r="C34" s="2">
        <f>SUM(C31:C33)</f>
        <v>1046</v>
      </c>
      <c r="D34" s="2"/>
      <c r="E34" s="2"/>
      <c r="F34" s="2"/>
      <c r="G34" s="2">
        <f>SUM(G31:G33)</f>
        <v>90</v>
      </c>
      <c r="H34" s="2">
        <f>SUM(H31:H33)</f>
        <v>0</v>
      </c>
      <c r="I34" s="25">
        <f>SUM(I31:I33)</f>
        <v>1</v>
      </c>
      <c r="M34" s="4"/>
    </row>
    <row r="35" spans="1:13" s="22" customFormat="1" ht="13.8" thickTop="1" x14ac:dyDescent="0.25">
      <c r="A35" s="10" t="s">
        <v>37</v>
      </c>
      <c r="B35" s="13" t="s">
        <v>38</v>
      </c>
      <c r="C35" s="13" t="s">
        <v>39</v>
      </c>
      <c r="D35" s="13" t="s">
        <v>40</v>
      </c>
      <c r="E35" s="13" t="s">
        <v>41</v>
      </c>
      <c r="F35" s="13"/>
      <c r="G35" s="30" t="s">
        <v>6</v>
      </c>
      <c r="H35" s="30" t="s">
        <v>7</v>
      </c>
      <c r="I35" s="31" t="s">
        <v>8</v>
      </c>
      <c r="J35" s="21"/>
      <c r="K35" s="21"/>
      <c r="L35" s="21"/>
    </row>
    <row r="36" spans="1:13" x14ac:dyDescent="0.25">
      <c r="A36" s="2" t="s">
        <v>42</v>
      </c>
      <c r="B36" s="2">
        <v>65</v>
      </c>
      <c r="C36" s="2">
        <v>54</v>
      </c>
      <c r="D36" s="2">
        <v>147</v>
      </c>
      <c r="E36" s="2">
        <v>113</v>
      </c>
      <c r="F36" s="2"/>
      <c r="G36" s="4">
        <v>91</v>
      </c>
      <c r="H36" s="4">
        <v>0</v>
      </c>
      <c r="I36" s="26">
        <v>0</v>
      </c>
      <c r="J36" s="4"/>
      <c r="K36" s="4"/>
      <c r="L36" s="4"/>
      <c r="M36" s="4"/>
    </row>
    <row r="37" spans="1:13" x14ac:dyDescent="0.25">
      <c r="A37" s="2" t="s">
        <v>43</v>
      </c>
      <c r="B37" s="2">
        <v>838</v>
      </c>
      <c r="C37" s="2">
        <v>743</v>
      </c>
      <c r="D37" s="2">
        <v>1286</v>
      </c>
      <c r="E37" s="2">
        <v>1395</v>
      </c>
      <c r="F37" s="2"/>
      <c r="G37" s="4">
        <v>608</v>
      </c>
      <c r="H37" s="4">
        <v>2</v>
      </c>
      <c r="I37" s="26">
        <v>24</v>
      </c>
      <c r="J37" s="4"/>
      <c r="K37" s="4"/>
      <c r="L37" s="4"/>
      <c r="M37" s="4"/>
    </row>
    <row r="38" spans="1:13" x14ac:dyDescent="0.25">
      <c r="A38" s="2" t="s">
        <v>44</v>
      </c>
      <c r="B38" s="2">
        <v>130</v>
      </c>
      <c r="C38" s="2">
        <v>108</v>
      </c>
      <c r="D38" s="2">
        <v>140</v>
      </c>
      <c r="E38" s="2">
        <v>149</v>
      </c>
      <c r="F38" s="2"/>
      <c r="G38" s="4">
        <v>73</v>
      </c>
      <c r="H38" s="4">
        <v>0</v>
      </c>
      <c r="I38" s="26">
        <v>0</v>
      </c>
      <c r="J38" s="4"/>
      <c r="K38" s="4"/>
      <c r="L38" s="4"/>
      <c r="M38" s="4"/>
    </row>
    <row r="39" spans="1:13" x14ac:dyDescent="0.25">
      <c r="A39" s="2" t="s">
        <v>45</v>
      </c>
      <c r="B39" s="3">
        <v>197</v>
      </c>
      <c r="C39" s="3">
        <v>182</v>
      </c>
      <c r="D39" s="3">
        <v>221</v>
      </c>
      <c r="E39" s="2">
        <v>221</v>
      </c>
      <c r="F39" s="2"/>
      <c r="G39" s="4">
        <v>137</v>
      </c>
      <c r="H39" s="4">
        <v>0</v>
      </c>
      <c r="I39" s="26">
        <v>1</v>
      </c>
      <c r="J39" s="4"/>
      <c r="K39" s="4"/>
      <c r="L39" s="4"/>
      <c r="M39" s="4"/>
    </row>
    <row r="40" spans="1:13" x14ac:dyDescent="0.25">
      <c r="A40" s="2" t="s">
        <v>46</v>
      </c>
      <c r="B40" s="3">
        <v>145</v>
      </c>
      <c r="C40" s="3">
        <v>130</v>
      </c>
      <c r="D40" s="3">
        <v>294</v>
      </c>
      <c r="E40" s="2">
        <v>248</v>
      </c>
      <c r="F40" s="2"/>
      <c r="G40" s="2">
        <v>211</v>
      </c>
      <c r="H40" s="2">
        <v>0</v>
      </c>
      <c r="I40" s="25">
        <v>0</v>
      </c>
      <c r="M40" s="4"/>
    </row>
    <row r="41" spans="1:13" s="8" customFormat="1" ht="13.8" thickBot="1" x14ac:dyDescent="0.3">
      <c r="A41" s="1" t="s">
        <v>15</v>
      </c>
      <c r="B41" s="3">
        <f t="shared" ref="B41:H41" si="0">SUM(B36:B40)</f>
        <v>1375</v>
      </c>
      <c r="C41" s="3">
        <f t="shared" si="0"/>
        <v>1217</v>
      </c>
      <c r="D41" s="3">
        <f t="shared" si="0"/>
        <v>2088</v>
      </c>
      <c r="E41" s="3">
        <f t="shared" si="0"/>
        <v>2126</v>
      </c>
      <c r="F41" s="3"/>
      <c r="G41" s="3">
        <f t="shared" si="0"/>
        <v>1120</v>
      </c>
      <c r="H41" s="3">
        <f t="shared" si="0"/>
        <v>2</v>
      </c>
      <c r="I41" s="33">
        <f>SUM(I36:I40)</f>
        <v>25</v>
      </c>
      <c r="J41" s="7"/>
      <c r="K41" s="7"/>
      <c r="L41" s="7"/>
    </row>
    <row r="42" spans="1:13" s="8" customFormat="1" ht="13.8" thickTop="1" x14ac:dyDescent="0.25">
      <c r="A42" s="10" t="s">
        <v>47</v>
      </c>
      <c r="B42" s="13" t="s">
        <v>48</v>
      </c>
      <c r="C42" s="13" t="s">
        <v>49</v>
      </c>
      <c r="D42" s="13"/>
      <c r="E42" s="12"/>
      <c r="F42" s="11"/>
      <c r="G42" s="30" t="s">
        <v>6</v>
      </c>
      <c r="H42" s="30" t="s">
        <v>7</v>
      </c>
      <c r="I42" s="31" t="s">
        <v>8</v>
      </c>
      <c r="J42" s="7"/>
      <c r="K42" s="7"/>
      <c r="L42" s="7"/>
    </row>
    <row r="43" spans="1:13" x14ac:dyDescent="0.25">
      <c r="A43" s="2" t="s">
        <v>50</v>
      </c>
      <c r="B43" s="2">
        <v>490</v>
      </c>
      <c r="C43" s="2">
        <v>346</v>
      </c>
      <c r="D43" s="2"/>
      <c r="E43" s="2"/>
      <c r="F43" s="2"/>
      <c r="G43" s="2">
        <v>35</v>
      </c>
      <c r="H43" s="2">
        <v>0</v>
      </c>
      <c r="I43" s="25">
        <v>1</v>
      </c>
      <c r="M43" s="4"/>
    </row>
    <row r="44" spans="1:13" x14ac:dyDescent="0.25">
      <c r="A44" s="2" t="s">
        <v>51</v>
      </c>
      <c r="B44" s="2">
        <v>400</v>
      </c>
      <c r="C44" s="2">
        <v>584</v>
      </c>
      <c r="D44" s="2"/>
      <c r="E44" s="2"/>
      <c r="F44" s="2"/>
      <c r="G44" s="2">
        <v>46</v>
      </c>
      <c r="H44" s="2">
        <v>8</v>
      </c>
      <c r="I44" s="25">
        <v>1</v>
      </c>
      <c r="M44" s="4"/>
    </row>
    <row r="45" spans="1:13" x14ac:dyDescent="0.25">
      <c r="A45" s="2" t="s">
        <v>52</v>
      </c>
      <c r="B45" s="2">
        <v>209</v>
      </c>
      <c r="C45" s="2">
        <v>396</v>
      </c>
      <c r="D45" s="2"/>
      <c r="E45" s="2"/>
      <c r="F45" s="2"/>
      <c r="G45" s="2">
        <v>0</v>
      </c>
      <c r="H45" s="2">
        <v>0</v>
      </c>
      <c r="I45" s="25">
        <v>1</v>
      </c>
      <c r="M45" s="4"/>
    </row>
    <row r="46" spans="1:13" s="8" customFormat="1" ht="13.8" thickBot="1" x14ac:dyDescent="0.3">
      <c r="A46" s="1" t="s">
        <v>15</v>
      </c>
      <c r="B46" s="3">
        <f>SUM(B43:B45)</f>
        <v>1099</v>
      </c>
      <c r="C46" s="3">
        <f>SUM(C43:C45)</f>
        <v>1326</v>
      </c>
      <c r="D46" s="3"/>
      <c r="E46" s="2"/>
      <c r="F46" s="2"/>
      <c r="G46" s="3">
        <f>SUM(G43:G45)</f>
        <v>81</v>
      </c>
      <c r="H46" s="3">
        <f>SUM(H43:H45)</f>
        <v>8</v>
      </c>
      <c r="I46" s="33">
        <f>SUM(I43:I45)</f>
        <v>3</v>
      </c>
      <c r="J46" s="7"/>
      <c r="K46" s="7"/>
      <c r="L46" s="7"/>
    </row>
    <row r="47" spans="1:13" s="8" customFormat="1" ht="50.4" thickTop="1" x14ac:dyDescent="0.25">
      <c r="A47" s="10" t="s">
        <v>53</v>
      </c>
      <c r="B47" s="13" t="s">
        <v>54</v>
      </c>
      <c r="C47" s="44" t="s">
        <v>107</v>
      </c>
      <c r="D47" s="13" t="s">
        <v>55</v>
      </c>
      <c r="E47" s="44" t="s">
        <v>107</v>
      </c>
      <c r="F47" s="34" t="s">
        <v>6</v>
      </c>
      <c r="G47" s="44" t="s">
        <v>107</v>
      </c>
      <c r="H47" s="34" t="s">
        <v>7</v>
      </c>
      <c r="I47" s="44" t="s">
        <v>107</v>
      </c>
      <c r="J47" s="46" t="s">
        <v>8</v>
      </c>
      <c r="K47" s="48" t="s">
        <v>107</v>
      </c>
      <c r="L47" s="7"/>
    </row>
    <row r="48" spans="1:13" ht="15.6" customHeight="1" thickBot="1" x14ac:dyDescent="0.3">
      <c r="A48" s="2" t="s">
        <v>56</v>
      </c>
      <c r="B48" s="2">
        <v>1056</v>
      </c>
      <c r="C48" s="45">
        <v>1057</v>
      </c>
      <c r="D48" s="2">
        <v>1028</v>
      </c>
      <c r="E48" s="45">
        <v>1034</v>
      </c>
      <c r="F48" s="2">
        <v>89</v>
      </c>
      <c r="G48" s="45">
        <v>84</v>
      </c>
      <c r="H48" s="2">
        <v>0</v>
      </c>
      <c r="I48" s="45">
        <v>0</v>
      </c>
      <c r="J48" s="47">
        <v>1</v>
      </c>
      <c r="K48" s="49">
        <v>1</v>
      </c>
      <c r="M48" s="4"/>
    </row>
    <row r="49" spans="1:13" ht="27" customHeight="1" thickTop="1" x14ac:dyDescent="0.25">
      <c r="A49" s="16" t="s">
        <v>57</v>
      </c>
      <c r="B49" s="34" t="s">
        <v>58</v>
      </c>
      <c r="C49" s="34" t="s">
        <v>59</v>
      </c>
      <c r="D49" s="34" t="s">
        <v>60</v>
      </c>
      <c r="E49" s="34" t="s">
        <v>61</v>
      </c>
      <c r="F49" s="34"/>
      <c r="G49" s="30" t="s">
        <v>6</v>
      </c>
      <c r="H49" s="30" t="s">
        <v>7</v>
      </c>
      <c r="I49" s="31" t="s">
        <v>8</v>
      </c>
      <c r="M49" s="4"/>
    </row>
    <row r="50" spans="1:13" x14ac:dyDescent="0.25">
      <c r="A50" s="2" t="s">
        <v>62</v>
      </c>
      <c r="B50" s="2">
        <v>496</v>
      </c>
      <c r="C50" s="2">
        <v>554</v>
      </c>
      <c r="D50" s="2">
        <v>555</v>
      </c>
      <c r="E50" s="2">
        <v>660</v>
      </c>
      <c r="F50" s="2"/>
      <c r="G50" s="2">
        <v>1499</v>
      </c>
      <c r="H50" s="2">
        <v>0</v>
      </c>
      <c r="I50" s="25">
        <v>3</v>
      </c>
      <c r="M50" s="4"/>
    </row>
    <row r="51" spans="1:13" x14ac:dyDescent="0.25">
      <c r="A51" s="2" t="s">
        <v>63</v>
      </c>
      <c r="B51" s="2">
        <v>770</v>
      </c>
      <c r="C51" s="2">
        <v>797</v>
      </c>
      <c r="D51" s="2">
        <v>843</v>
      </c>
      <c r="E51" s="2">
        <v>613</v>
      </c>
      <c r="F51" s="2"/>
      <c r="G51" s="2">
        <v>1443</v>
      </c>
      <c r="H51" s="2">
        <v>0</v>
      </c>
      <c r="I51" s="25">
        <v>10</v>
      </c>
      <c r="M51" s="4"/>
    </row>
    <row r="52" spans="1:13" x14ac:dyDescent="0.25">
      <c r="A52" s="2" t="s">
        <v>64</v>
      </c>
      <c r="B52" s="2">
        <v>1813</v>
      </c>
      <c r="C52" s="2">
        <v>1853</v>
      </c>
      <c r="D52" s="2">
        <v>1767</v>
      </c>
      <c r="E52" s="2">
        <v>1412</v>
      </c>
      <c r="F52" s="2"/>
      <c r="G52" s="2">
        <v>3546</v>
      </c>
      <c r="H52" s="2">
        <v>0</v>
      </c>
      <c r="I52" s="25">
        <v>30</v>
      </c>
      <c r="M52" s="4"/>
    </row>
    <row r="53" spans="1:13" s="8" customFormat="1" ht="13.8" thickBot="1" x14ac:dyDescent="0.3">
      <c r="A53" s="1" t="s">
        <v>15</v>
      </c>
      <c r="B53" s="3">
        <f>SUM(B50:B52)</f>
        <v>3079</v>
      </c>
      <c r="C53" s="3">
        <f>SUM(C50:C52)</f>
        <v>3204</v>
      </c>
      <c r="D53" s="3">
        <f>SUM(D50:D52)</f>
        <v>3165</v>
      </c>
      <c r="E53" s="3">
        <f>SUM(E50:E52)</f>
        <v>2685</v>
      </c>
      <c r="F53" s="3"/>
      <c r="G53" s="3">
        <f>SUM(G50:G52)</f>
        <v>6488</v>
      </c>
      <c r="H53" s="3">
        <f>SUM(H50:H52)</f>
        <v>0</v>
      </c>
      <c r="I53" s="33">
        <f>SUM(I50:I52)</f>
        <v>43</v>
      </c>
      <c r="J53" s="7"/>
      <c r="K53" s="7"/>
      <c r="L53" s="7"/>
    </row>
    <row r="54" spans="1:13" s="8" customFormat="1" ht="18.600000000000001" customHeight="1" thickTop="1" x14ac:dyDescent="0.25">
      <c r="A54" s="10" t="s">
        <v>65</v>
      </c>
      <c r="B54" s="13" t="s">
        <v>66</v>
      </c>
      <c r="C54" s="13" t="s">
        <v>67</v>
      </c>
      <c r="D54" s="13"/>
      <c r="E54" s="13"/>
      <c r="F54" s="13"/>
      <c r="G54" s="30" t="s">
        <v>6</v>
      </c>
      <c r="H54" s="30" t="s">
        <v>7</v>
      </c>
      <c r="I54" s="31" t="s">
        <v>8</v>
      </c>
      <c r="J54" s="6"/>
      <c r="K54" s="7"/>
      <c r="L54" s="7"/>
    </row>
    <row r="55" spans="1:13" s="8" customFormat="1" ht="13.2" customHeight="1" x14ac:dyDescent="0.25">
      <c r="A55" s="2" t="s">
        <v>68</v>
      </c>
      <c r="B55" s="2">
        <v>1128</v>
      </c>
      <c r="C55" s="2">
        <v>981</v>
      </c>
      <c r="D55" s="2"/>
      <c r="E55" s="2"/>
      <c r="F55" s="2"/>
      <c r="G55" s="2">
        <v>88</v>
      </c>
      <c r="H55" s="2">
        <v>1</v>
      </c>
      <c r="I55" s="25">
        <v>0</v>
      </c>
      <c r="J55" s="6"/>
      <c r="K55" s="7"/>
      <c r="L55" s="7"/>
    </row>
    <row r="56" spans="1:13" s="8" customFormat="1" ht="13.2" customHeight="1" x14ac:dyDescent="0.25">
      <c r="A56" s="2" t="s">
        <v>69</v>
      </c>
      <c r="B56" s="2">
        <v>93</v>
      </c>
      <c r="C56" s="2">
        <v>145</v>
      </c>
      <c r="D56" s="2"/>
      <c r="E56" s="2"/>
      <c r="F56" s="2"/>
      <c r="G56" s="2">
        <v>10</v>
      </c>
      <c r="H56" s="2">
        <v>0</v>
      </c>
      <c r="I56" s="25">
        <v>0</v>
      </c>
      <c r="J56" s="6"/>
      <c r="K56" s="7"/>
      <c r="L56" s="7"/>
    </row>
    <row r="57" spans="1:13" s="8" customFormat="1" ht="13.2" customHeight="1" x14ac:dyDescent="0.25">
      <c r="A57" s="2" t="s">
        <v>70</v>
      </c>
      <c r="B57" s="2">
        <v>84</v>
      </c>
      <c r="C57" s="2">
        <v>107</v>
      </c>
      <c r="D57" s="2"/>
      <c r="E57" s="2"/>
      <c r="F57" s="2"/>
      <c r="G57" s="2">
        <v>12</v>
      </c>
      <c r="H57" s="2">
        <v>0</v>
      </c>
      <c r="I57" s="25">
        <v>0</v>
      </c>
      <c r="J57" s="6"/>
      <c r="K57" s="7"/>
      <c r="L57" s="7"/>
    </row>
    <row r="58" spans="1:13" s="8" customFormat="1" ht="13.8" thickBot="1" x14ac:dyDescent="0.3">
      <c r="A58" s="1" t="s">
        <v>15</v>
      </c>
      <c r="B58" s="3">
        <f>SUM(B55:B57)</f>
        <v>1305</v>
      </c>
      <c r="C58" s="3">
        <f>SUM(C55:C57)</f>
        <v>1233</v>
      </c>
      <c r="D58" s="3"/>
      <c r="E58" s="3"/>
      <c r="F58" s="3"/>
      <c r="G58" s="3">
        <f>SUM(G55:G57)</f>
        <v>110</v>
      </c>
      <c r="H58" s="3">
        <f>SUM(H55:H57)</f>
        <v>1</v>
      </c>
      <c r="I58" s="33">
        <f>SUM(I55:I57)</f>
        <v>0</v>
      </c>
      <c r="J58" s="7"/>
      <c r="K58" s="7"/>
      <c r="L58" s="7"/>
    </row>
    <row r="59" spans="1:13" s="8" customFormat="1" ht="13.8" thickTop="1" x14ac:dyDescent="0.25">
      <c r="A59" s="10" t="s">
        <v>71</v>
      </c>
      <c r="B59" s="13" t="s">
        <v>72</v>
      </c>
      <c r="C59" s="13" t="s">
        <v>73</v>
      </c>
      <c r="D59" s="13"/>
      <c r="E59" s="13"/>
      <c r="F59" s="12"/>
      <c r="G59" s="30" t="s">
        <v>6</v>
      </c>
      <c r="H59" s="30" t="s">
        <v>7</v>
      </c>
      <c r="I59" s="31" t="s">
        <v>8</v>
      </c>
      <c r="J59" s="7"/>
      <c r="K59" s="7"/>
      <c r="L59" s="7"/>
    </row>
    <row r="60" spans="1:13" ht="15" customHeight="1" x14ac:dyDescent="0.25">
      <c r="A60" s="2" t="s">
        <v>74</v>
      </c>
      <c r="B60" s="2">
        <v>375</v>
      </c>
      <c r="C60" s="2">
        <v>462</v>
      </c>
      <c r="D60" s="2"/>
      <c r="E60" s="2"/>
      <c r="F60" s="2"/>
      <c r="G60" s="2">
        <v>40</v>
      </c>
      <c r="H60" s="38">
        <v>0</v>
      </c>
      <c r="I60" s="25">
        <v>3</v>
      </c>
      <c r="M60" s="4"/>
    </row>
    <row r="61" spans="1:13" ht="12.6" customHeight="1" x14ac:dyDescent="0.25">
      <c r="A61" s="2" t="s">
        <v>75</v>
      </c>
      <c r="B61" s="2">
        <v>909</v>
      </c>
      <c r="C61" s="2">
        <v>1028</v>
      </c>
      <c r="D61" s="2"/>
      <c r="E61" s="2"/>
      <c r="F61" s="2"/>
      <c r="G61" s="2">
        <v>122</v>
      </c>
      <c r="H61" s="38">
        <v>0</v>
      </c>
      <c r="I61" s="25">
        <v>1</v>
      </c>
      <c r="M61" s="4"/>
    </row>
    <row r="62" spans="1:13" ht="15.6" customHeight="1" thickBot="1" x14ac:dyDescent="0.3">
      <c r="A62" s="1" t="s">
        <v>15</v>
      </c>
      <c r="B62" s="2">
        <f>SUM(B60:B61)</f>
        <v>1284</v>
      </c>
      <c r="C62" s="2">
        <f>SUM(C60:C61)</f>
        <v>1490</v>
      </c>
      <c r="D62" s="2"/>
      <c r="E62" s="2"/>
      <c r="F62" s="2"/>
      <c r="G62" s="2">
        <f>SUM(G60:G61)</f>
        <v>162</v>
      </c>
      <c r="H62" s="2">
        <f>SUM(H60:H61)</f>
        <v>0</v>
      </c>
      <c r="I62" s="25">
        <f>SUM(I60:I61)</f>
        <v>4</v>
      </c>
      <c r="M62" s="4"/>
    </row>
    <row r="63" spans="1:13" s="8" customFormat="1" ht="20.399999999999999" customHeight="1" thickTop="1" x14ac:dyDescent="0.25">
      <c r="A63" s="10" t="s">
        <v>76</v>
      </c>
      <c r="B63" s="13" t="s">
        <v>77</v>
      </c>
      <c r="C63" s="13"/>
      <c r="D63" s="34"/>
      <c r="E63" s="12"/>
      <c r="F63" s="11"/>
      <c r="G63" s="30" t="s">
        <v>6</v>
      </c>
      <c r="H63" s="30" t="s">
        <v>7</v>
      </c>
      <c r="I63" s="31" t="s">
        <v>8</v>
      </c>
      <c r="J63" s="9"/>
      <c r="K63" s="7"/>
      <c r="L63" s="7"/>
    </row>
    <row r="64" spans="1:13" ht="13.2" customHeight="1" x14ac:dyDescent="0.25">
      <c r="A64" s="2" t="s">
        <v>78</v>
      </c>
      <c r="B64" s="2">
        <v>722</v>
      </c>
      <c r="C64" s="2"/>
      <c r="D64" s="2"/>
      <c r="E64" s="2"/>
      <c r="F64" s="2"/>
      <c r="G64" s="2">
        <v>403</v>
      </c>
      <c r="H64" s="2">
        <v>2</v>
      </c>
      <c r="I64" s="25">
        <v>5</v>
      </c>
      <c r="M64" s="4"/>
    </row>
    <row r="65" spans="1:13" ht="13.2" customHeight="1" x14ac:dyDescent="0.25">
      <c r="A65" s="2" t="s">
        <v>79</v>
      </c>
      <c r="B65" s="2">
        <v>523</v>
      </c>
      <c r="C65" s="2"/>
      <c r="D65" s="2"/>
      <c r="E65" s="2"/>
      <c r="F65" s="2"/>
      <c r="G65" s="2">
        <v>260</v>
      </c>
      <c r="H65" s="2">
        <v>0</v>
      </c>
      <c r="I65" s="25">
        <v>13</v>
      </c>
      <c r="M65" s="4"/>
    </row>
    <row r="66" spans="1:13" ht="13.2" customHeight="1" x14ac:dyDescent="0.25">
      <c r="A66" s="2" t="s">
        <v>80</v>
      </c>
      <c r="B66" s="2">
        <v>252</v>
      </c>
      <c r="C66" s="2"/>
      <c r="D66" s="2"/>
      <c r="E66" s="2"/>
      <c r="F66" s="2"/>
      <c r="G66" s="2">
        <v>135</v>
      </c>
      <c r="H66" s="2">
        <v>0</v>
      </c>
      <c r="I66" s="25">
        <v>4</v>
      </c>
      <c r="M66" s="4"/>
    </row>
    <row r="67" spans="1:13" ht="13.2" customHeight="1" x14ac:dyDescent="0.25">
      <c r="A67" s="2" t="s">
        <v>81</v>
      </c>
      <c r="B67" s="3">
        <v>329</v>
      </c>
      <c r="C67" s="3"/>
      <c r="D67" s="3"/>
      <c r="E67" s="2"/>
      <c r="F67" s="2"/>
      <c r="G67" s="2">
        <v>231</v>
      </c>
      <c r="H67" s="2">
        <v>0</v>
      </c>
      <c r="I67" s="25">
        <v>3</v>
      </c>
      <c r="M67" s="4"/>
    </row>
    <row r="68" spans="1:13" s="8" customFormat="1" ht="13.8" thickBot="1" x14ac:dyDescent="0.3">
      <c r="A68" s="1" t="s">
        <v>15</v>
      </c>
      <c r="B68" s="3">
        <f>SUM(B64:B67)</f>
        <v>1826</v>
      </c>
      <c r="C68" s="3"/>
      <c r="D68" s="3"/>
      <c r="E68" s="2"/>
      <c r="F68" s="2"/>
      <c r="G68" s="3">
        <f>SUM(G64:G67)</f>
        <v>1029</v>
      </c>
      <c r="H68" s="3">
        <f>SUM(H64:H67)</f>
        <v>2</v>
      </c>
      <c r="I68" s="33">
        <f>SUM(I64:I67)</f>
        <v>25</v>
      </c>
      <c r="J68" s="7"/>
      <c r="K68" s="7"/>
      <c r="L68" s="7"/>
    </row>
    <row r="69" spans="1:13" s="3" customFormat="1" ht="13.8" thickTop="1" x14ac:dyDescent="0.25">
      <c r="A69" s="10" t="s">
        <v>82</v>
      </c>
      <c r="B69" s="13" t="s">
        <v>83</v>
      </c>
      <c r="C69" s="13" t="s">
        <v>84</v>
      </c>
      <c r="D69" s="13" t="s">
        <v>85</v>
      </c>
      <c r="E69" s="13" t="s">
        <v>86</v>
      </c>
      <c r="F69" s="13"/>
      <c r="G69" s="30" t="s">
        <v>6</v>
      </c>
      <c r="H69" s="30" t="s">
        <v>7</v>
      </c>
      <c r="I69" s="31" t="s">
        <v>8</v>
      </c>
      <c r="J69" s="17"/>
      <c r="K69" s="17"/>
      <c r="L69" s="17"/>
    </row>
    <row r="70" spans="1:13" x14ac:dyDescent="0.25">
      <c r="A70" s="2" t="s">
        <v>87</v>
      </c>
      <c r="B70" s="14">
        <v>5334</v>
      </c>
      <c r="C70" s="14">
        <v>5380</v>
      </c>
      <c r="D70" s="14">
        <v>5342</v>
      </c>
      <c r="E70" s="14">
        <v>5214</v>
      </c>
      <c r="F70" s="14"/>
      <c r="G70" s="41">
        <v>7485</v>
      </c>
      <c r="H70" s="42">
        <v>0</v>
      </c>
      <c r="I70" s="27">
        <v>19</v>
      </c>
      <c r="M70" s="4"/>
    </row>
    <row r="71" spans="1:13" x14ac:dyDescent="0.25">
      <c r="A71" s="2" t="s">
        <v>88</v>
      </c>
      <c r="B71" s="14">
        <v>981</v>
      </c>
      <c r="C71" s="14">
        <v>971</v>
      </c>
      <c r="D71" s="14">
        <v>963</v>
      </c>
      <c r="E71" s="14">
        <v>960</v>
      </c>
      <c r="F71" s="14"/>
      <c r="G71" s="41">
        <v>1121</v>
      </c>
      <c r="H71" s="42">
        <v>0</v>
      </c>
      <c r="I71" s="43">
        <v>0</v>
      </c>
      <c r="M71" s="4"/>
    </row>
    <row r="72" spans="1:13" ht="13.8" thickBot="1" x14ac:dyDescent="0.3">
      <c r="A72" s="1" t="s">
        <v>89</v>
      </c>
      <c r="B72" s="3">
        <f t="shared" ref="B72:H72" si="1">SUM(B70:B71)</f>
        <v>6315</v>
      </c>
      <c r="C72" s="3">
        <f t="shared" si="1"/>
        <v>6351</v>
      </c>
      <c r="D72" s="3">
        <f t="shared" si="1"/>
        <v>6305</v>
      </c>
      <c r="E72" s="3">
        <f t="shared" si="1"/>
        <v>6174</v>
      </c>
      <c r="F72" s="3"/>
      <c r="G72" s="3">
        <f t="shared" si="1"/>
        <v>8606</v>
      </c>
      <c r="H72" s="3">
        <f t="shared" si="1"/>
        <v>0</v>
      </c>
      <c r="I72" s="33">
        <f>SUM(I70:I71)</f>
        <v>19</v>
      </c>
      <c r="M72" s="4"/>
    </row>
    <row r="73" spans="1:13" ht="13.8" thickTop="1" x14ac:dyDescent="0.25">
      <c r="A73" s="10" t="s">
        <v>90</v>
      </c>
      <c r="B73" s="13" t="s">
        <v>91</v>
      </c>
      <c r="C73" s="13"/>
      <c r="D73" s="13"/>
      <c r="E73" s="13"/>
      <c r="F73" s="13"/>
      <c r="G73" s="30" t="s">
        <v>6</v>
      </c>
      <c r="H73" s="30" t="s">
        <v>7</v>
      </c>
      <c r="I73" s="31" t="s">
        <v>8</v>
      </c>
      <c r="M73" s="4"/>
    </row>
    <row r="74" spans="1:13" ht="13.2" customHeight="1" thickBot="1" x14ac:dyDescent="0.3">
      <c r="A74" s="2" t="s">
        <v>92</v>
      </c>
      <c r="B74" s="2">
        <v>1982</v>
      </c>
      <c r="C74" s="2"/>
      <c r="D74" s="2"/>
      <c r="E74" s="2"/>
      <c r="F74" s="2"/>
      <c r="G74" s="2">
        <v>557</v>
      </c>
      <c r="H74" s="2">
        <v>0</v>
      </c>
      <c r="I74" s="25">
        <v>17</v>
      </c>
      <c r="M74" s="4"/>
    </row>
    <row r="75" spans="1:13" s="5" customFormat="1" ht="13.2" customHeight="1" thickTop="1" x14ac:dyDescent="0.25">
      <c r="A75" s="18" t="s">
        <v>93</v>
      </c>
      <c r="B75" s="35" t="s">
        <v>94</v>
      </c>
      <c r="C75" s="35"/>
      <c r="D75" s="19"/>
      <c r="E75" s="19"/>
      <c r="F75" s="19"/>
      <c r="G75" s="30" t="s">
        <v>6</v>
      </c>
      <c r="H75" s="30" t="s">
        <v>7</v>
      </c>
      <c r="I75" s="31" t="s">
        <v>8</v>
      </c>
    </row>
    <row r="76" spans="1:13" s="5" customFormat="1" ht="13.2" customHeight="1" thickBot="1" x14ac:dyDescent="0.3">
      <c r="A76" s="20" t="s">
        <v>95</v>
      </c>
      <c r="B76" s="20">
        <v>2216</v>
      </c>
      <c r="C76" s="20"/>
      <c r="D76" s="20"/>
      <c r="E76" s="20"/>
      <c r="F76" s="20"/>
      <c r="G76" s="20">
        <v>9</v>
      </c>
      <c r="H76" s="39">
        <v>0</v>
      </c>
      <c r="I76" s="40">
        <v>7</v>
      </c>
    </row>
    <row r="77" spans="1:13" s="5" customFormat="1" ht="13.2" customHeight="1" thickTop="1" x14ac:dyDescent="0.25">
      <c r="A77" s="18" t="s">
        <v>96</v>
      </c>
      <c r="B77" s="35" t="s">
        <v>97</v>
      </c>
      <c r="C77" s="35"/>
      <c r="D77" s="19"/>
      <c r="E77" s="19"/>
      <c r="F77" s="19"/>
      <c r="G77" s="30" t="s">
        <v>6</v>
      </c>
      <c r="H77" s="30" t="s">
        <v>7</v>
      </c>
      <c r="I77" s="31" t="s">
        <v>8</v>
      </c>
    </row>
    <row r="78" spans="1:13" s="5" customFormat="1" ht="13.2" customHeight="1" thickBot="1" x14ac:dyDescent="0.3">
      <c r="A78" s="20" t="s">
        <v>98</v>
      </c>
      <c r="B78" s="20">
        <v>2170</v>
      </c>
      <c r="C78" s="20"/>
      <c r="D78" s="20"/>
      <c r="E78" s="20"/>
      <c r="F78" s="20"/>
      <c r="G78" s="2">
        <v>594</v>
      </c>
      <c r="H78" s="2">
        <v>0</v>
      </c>
      <c r="I78" s="25">
        <v>6</v>
      </c>
    </row>
    <row r="79" spans="1:13" ht="13.8" thickTop="1" x14ac:dyDescent="0.25">
      <c r="A79" s="10" t="s">
        <v>99</v>
      </c>
      <c r="B79" s="13" t="s">
        <v>100</v>
      </c>
      <c r="C79" s="13"/>
      <c r="D79" s="13"/>
      <c r="E79" s="12"/>
      <c r="F79" s="11"/>
      <c r="G79" s="30" t="s">
        <v>6</v>
      </c>
      <c r="H79" s="30" t="s">
        <v>7</v>
      </c>
      <c r="I79" s="31" t="s">
        <v>8</v>
      </c>
      <c r="M79" s="4"/>
    </row>
    <row r="80" spans="1:13" ht="13.8" thickBot="1" x14ac:dyDescent="0.3">
      <c r="A80" s="2" t="s">
        <v>101</v>
      </c>
      <c r="B80" s="2">
        <v>1867</v>
      </c>
      <c r="C80" s="2"/>
      <c r="D80" s="2"/>
      <c r="E80" s="2"/>
      <c r="F80" s="2"/>
      <c r="G80" s="2">
        <v>852</v>
      </c>
      <c r="H80" s="2">
        <v>0</v>
      </c>
      <c r="I80" s="25">
        <v>25</v>
      </c>
      <c r="M80" s="4"/>
    </row>
    <row r="81" spans="1:12" s="4" customFormat="1" ht="13.8" thickTop="1" x14ac:dyDescent="0.25">
      <c r="A81" s="10" t="s">
        <v>102</v>
      </c>
      <c r="B81" s="13" t="s">
        <v>103</v>
      </c>
      <c r="C81" s="13"/>
      <c r="D81" s="13"/>
      <c r="E81" s="13"/>
      <c r="F81" s="12"/>
      <c r="G81" s="30" t="s">
        <v>6</v>
      </c>
      <c r="H81" s="30" t="s">
        <v>7</v>
      </c>
      <c r="I81" s="31" t="s">
        <v>8</v>
      </c>
      <c r="J81" s="5"/>
      <c r="K81" s="5"/>
      <c r="L81" s="5"/>
    </row>
    <row r="82" spans="1:12" s="4" customFormat="1" x14ac:dyDescent="0.25">
      <c r="A82" s="2" t="s">
        <v>92</v>
      </c>
      <c r="B82" s="2">
        <v>1998</v>
      </c>
      <c r="C82" s="2"/>
      <c r="D82" s="2"/>
      <c r="E82" s="2"/>
      <c r="F82" s="2"/>
      <c r="G82" s="2">
        <v>542</v>
      </c>
      <c r="H82" s="2">
        <v>0</v>
      </c>
      <c r="I82" s="25">
        <v>12</v>
      </c>
      <c r="J82" s="5"/>
      <c r="K82" s="5"/>
      <c r="L82" s="5"/>
    </row>
    <row r="83" spans="1:12" s="4" customFormat="1" x14ac:dyDescent="0.25">
      <c r="A83" s="2" t="s">
        <v>95</v>
      </c>
      <c r="B83" s="2">
        <v>2211</v>
      </c>
      <c r="C83" s="2"/>
      <c r="D83" s="2"/>
      <c r="E83" s="2"/>
      <c r="F83" s="2"/>
      <c r="G83" s="2">
        <v>10</v>
      </c>
      <c r="H83" s="2">
        <v>0</v>
      </c>
      <c r="I83" s="25">
        <v>21</v>
      </c>
      <c r="J83" s="5"/>
      <c r="K83" s="5"/>
      <c r="L83" s="5"/>
    </row>
    <row r="84" spans="1:12" s="4" customFormat="1" x14ac:dyDescent="0.25">
      <c r="A84" s="2" t="s">
        <v>98</v>
      </c>
      <c r="B84" s="2">
        <v>2167</v>
      </c>
      <c r="C84" s="2"/>
      <c r="D84" s="2"/>
      <c r="E84" s="2"/>
      <c r="F84" s="2"/>
      <c r="G84" s="2">
        <v>599</v>
      </c>
      <c r="H84" s="2">
        <v>0</v>
      </c>
      <c r="I84" s="25">
        <v>3</v>
      </c>
      <c r="J84" s="5"/>
      <c r="K84" s="5"/>
      <c r="L84" s="5"/>
    </row>
    <row r="85" spans="1:12" s="8" customFormat="1" ht="13.8" thickBot="1" x14ac:dyDescent="0.3">
      <c r="A85" s="1" t="s">
        <v>15</v>
      </c>
      <c r="B85" s="3">
        <f>SUM(B82:B84)</f>
        <v>6376</v>
      </c>
      <c r="C85" s="3"/>
      <c r="D85" s="2"/>
      <c r="E85" s="2"/>
      <c r="F85" s="2"/>
      <c r="G85" s="3">
        <f>SUM(G82:G84)</f>
        <v>1151</v>
      </c>
      <c r="H85" s="3">
        <f>SUM(H82:H84)</f>
        <v>0</v>
      </c>
      <c r="I85" s="33">
        <f>SUM(I82:I84)</f>
        <v>36</v>
      </c>
      <c r="J85" s="7"/>
      <c r="K85" s="7"/>
      <c r="L85" s="7"/>
    </row>
    <row r="86" spans="1:12" s="4" customFormat="1" ht="13.8" thickTop="1" x14ac:dyDescent="0.25">
      <c r="A86" s="10" t="s">
        <v>104</v>
      </c>
      <c r="B86" s="13" t="s">
        <v>105</v>
      </c>
      <c r="C86" s="13" t="s">
        <v>106</v>
      </c>
      <c r="D86" s="13"/>
      <c r="E86" s="13"/>
      <c r="F86" s="11"/>
      <c r="G86" s="30" t="s">
        <v>6</v>
      </c>
      <c r="H86" s="30" t="s">
        <v>7</v>
      </c>
      <c r="I86" s="31" t="s">
        <v>8</v>
      </c>
      <c r="J86" s="5"/>
      <c r="K86" s="5"/>
      <c r="L86" s="5"/>
    </row>
    <row r="87" spans="1:12" s="4" customFormat="1" x14ac:dyDescent="0.25">
      <c r="A87" s="2" t="s">
        <v>78</v>
      </c>
      <c r="B87" s="2">
        <v>398</v>
      </c>
      <c r="C87" s="2">
        <v>656</v>
      </c>
      <c r="D87" s="2"/>
      <c r="E87" s="2"/>
      <c r="F87" s="2"/>
      <c r="G87" s="2">
        <v>75</v>
      </c>
      <c r="H87" s="2">
        <v>3</v>
      </c>
      <c r="I87" s="25">
        <v>0</v>
      </c>
      <c r="J87" s="5"/>
      <c r="K87" s="5"/>
      <c r="L87" s="5"/>
    </row>
    <row r="88" spans="1:12" s="4" customFormat="1" x14ac:dyDescent="0.25">
      <c r="A88" s="2" t="s">
        <v>74</v>
      </c>
      <c r="B88" s="2">
        <v>360</v>
      </c>
      <c r="C88" s="2">
        <v>472</v>
      </c>
      <c r="D88" s="2"/>
      <c r="E88" s="2"/>
      <c r="F88" s="2"/>
      <c r="G88" s="2">
        <v>47</v>
      </c>
      <c r="H88" s="2">
        <v>0</v>
      </c>
      <c r="I88" s="25">
        <v>2</v>
      </c>
      <c r="J88" s="5"/>
      <c r="K88" s="5"/>
      <c r="L88" s="5"/>
    </row>
    <row r="89" spans="1:12" s="4" customFormat="1" x14ac:dyDescent="0.25">
      <c r="A89" s="2" t="s">
        <v>75</v>
      </c>
      <c r="B89" s="2">
        <v>880</v>
      </c>
      <c r="C89" s="2">
        <v>1066</v>
      </c>
      <c r="D89" s="2"/>
      <c r="E89" s="2"/>
      <c r="F89" s="2"/>
      <c r="G89" s="2">
        <v>114</v>
      </c>
      <c r="H89" s="2">
        <v>0</v>
      </c>
      <c r="I89" s="25">
        <v>0</v>
      </c>
      <c r="J89" s="5"/>
      <c r="K89" s="5"/>
      <c r="L89" s="5"/>
    </row>
    <row r="90" spans="1:12" s="4" customFormat="1" x14ac:dyDescent="0.25">
      <c r="A90" s="2" t="s">
        <v>68</v>
      </c>
      <c r="B90" s="2">
        <v>1081</v>
      </c>
      <c r="C90" s="2">
        <v>1014</v>
      </c>
      <c r="D90" s="2"/>
      <c r="E90" s="2"/>
      <c r="F90" s="2"/>
      <c r="G90" s="2">
        <v>101</v>
      </c>
      <c r="H90" s="2">
        <v>1</v>
      </c>
      <c r="I90" s="25">
        <v>0</v>
      </c>
      <c r="J90" s="5"/>
      <c r="K90" s="5"/>
      <c r="L90" s="5"/>
    </row>
    <row r="91" spans="1:12" s="4" customFormat="1" x14ac:dyDescent="0.25">
      <c r="A91" s="2" t="s">
        <v>69</v>
      </c>
      <c r="B91" s="2">
        <v>87</v>
      </c>
      <c r="C91" s="2">
        <v>149</v>
      </c>
      <c r="D91" s="2"/>
      <c r="E91" s="2"/>
      <c r="F91" s="2"/>
      <c r="G91" s="2">
        <v>12</v>
      </c>
      <c r="H91" s="2">
        <v>0</v>
      </c>
      <c r="I91" s="25">
        <v>0</v>
      </c>
      <c r="J91" s="5"/>
      <c r="K91" s="5"/>
      <c r="L91" s="5"/>
    </row>
    <row r="92" spans="1:12" s="4" customFormat="1" x14ac:dyDescent="0.25">
      <c r="A92" s="2" t="s">
        <v>101</v>
      </c>
      <c r="B92" s="2">
        <v>1557</v>
      </c>
      <c r="C92" s="2">
        <v>1058</v>
      </c>
      <c r="D92" s="2"/>
      <c r="E92" s="2"/>
      <c r="F92" s="2"/>
      <c r="G92" s="2">
        <v>132</v>
      </c>
      <c r="H92" s="2">
        <v>0</v>
      </c>
      <c r="I92" s="25">
        <v>1</v>
      </c>
      <c r="J92" s="5"/>
      <c r="K92" s="5"/>
      <c r="L92" s="5"/>
    </row>
    <row r="93" spans="1:12" s="4" customFormat="1" x14ac:dyDescent="0.25">
      <c r="A93" s="2" t="s">
        <v>79</v>
      </c>
      <c r="B93" s="2">
        <v>281</v>
      </c>
      <c r="C93" s="2">
        <v>471</v>
      </c>
      <c r="D93" s="2"/>
      <c r="E93" s="2"/>
      <c r="F93" s="2"/>
      <c r="G93" s="2">
        <v>43</v>
      </c>
      <c r="H93" s="2">
        <v>0</v>
      </c>
      <c r="I93" s="25">
        <v>1</v>
      </c>
      <c r="J93" s="5"/>
      <c r="K93" s="5"/>
      <c r="L93" s="5"/>
    </row>
    <row r="94" spans="1:12" s="4" customFormat="1" x14ac:dyDescent="0.25">
      <c r="A94" s="2" t="s">
        <v>80</v>
      </c>
      <c r="B94" s="2">
        <v>120</v>
      </c>
      <c r="C94" s="2">
        <v>233</v>
      </c>
      <c r="D94" s="2"/>
      <c r="E94" s="2"/>
      <c r="F94" s="2"/>
      <c r="G94" s="2">
        <v>38</v>
      </c>
      <c r="H94" s="2">
        <v>0</v>
      </c>
      <c r="I94" s="25">
        <v>0</v>
      </c>
      <c r="J94" s="5"/>
      <c r="K94" s="5"/>
      <c r="L94" s="5"/>
    </row>
    <row r="95" spans="1:12" s="4" customFormat="1" x14ac:dyDescent="0.25">
      <c r="A95" s="2" t="s">
        <v>81</v>
      </c>
      <c r="B95" s="2">
        <v>222</v>
      </c>
      <c r="C95" s="2">
        <v>307</v>
      </c>
      <c r="D95" s="2"/>
      <c r="E95" s="2"/>
      <c r="F95" s="2"/>
      <c r="G95" s="2">
        <v>34</v>
      </c>
      <c r="H95" s="2">
        <v>0</v>
      </c>
      <c r="I95" s="25">
        <v>0</v>
      </c>
      <c r="J95" s="5"/>
      <c r="K95" s="5"/>
      <c r="L95" s="5"/>
    </row>
    <row r="96" spans="1:12" s="4" customFormat="1" x14ac:dyDescent="0.25">
      <c r="A96" s="2" t="s">
        <v>70</v>
      </c>
      <c r="B96" s="2">
        <v>83</v>
      </c>
      <c r="C96" s="2">
        <v>107</v>
      </c>
      <c r="D96" s="2"/>
      <c r="E96" s="2"/>
      <c r="F96" s="2"/>
      <c r="G96" s="2">
        <v>13</v>
      </c>
      <c r="H96" s="2">
        <v>0</v>
      </c>
      <c r="I96" s="25">
        <v>0</v>
      </c>
      <c r="J96" s="5"/>
      <c r="K96" s="5"/>
      <c r="L96" s="5"/>
    </row>
    <row r="97" spans="1:13" ht="13.8" thickBot="1" x14ac:dyDescent="0.3">
      <c r="A97" s="23" t="s">
        <v>15</v>
      </c>
      <c r="B97" s="36">
        <f>SUM(B87:B96)</f>
        <v>5069</v>
      </c>
      <c r="C97" s="36">
        <f>SUM(C87:C96)</f>
        <v>5533</v>
      </c>
      <c r="D97" s="36"/>
      <c r="E97" s="36"/>
      <c r="F97" s="24"/>
      <c r="G97" s="36">
        <f>SUM(G87:G96)</f>
        <v>609</v>
      </c>
      <c r="H97" s="36">
        <f>SUM(H87:H96)</f>
        <v>4</v>
      </c>
      <c r="I97" s="37">
        <f>SUM(I87:I96)</f>
        <v>4</v>
      </c>
      <c r="M97" s="4"/>
    </row>
    <row r="98" spans="1:13" ht="13.8" thickTop="1" x14ac:dyDescent="0.25">
      <c r="J98" s="4"/>
    </row>
  </sheetData>
  <mergeCells count="2">
    <mergeCell ref="A1:I1"/>
    <mergeCell ref="A2:I2"/>
  </mergeCells>
  <phoneticPr fontId="3" type="noConversion"/>
  <printOptions gridLines="1"/>
  <pageMargins left="0.5" right="0.25" top="0.5" bottom="0.25" header="0.5" footer="0.5"/>
  <pageSetup orientation="landscape" r:id="rId1"/>
  <headerFooter alignWithMargins="0"/>
  <rowBreaks count="2" manualBreakCount="2">
    <brk id="41" max="16383" man="1"/>
    <brk id="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rgraftonrep</vt:lpstr>
      <vt:lpstr>rgraftonrep!Print_Area</vt:lpstr>
      <vt:lpstr>rgraftonrep!Print_Titles</vt:lpstr>
    </vt:vector>
  </TitlesOfParts>
  <Manager/>
  <Company>State of 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Ladd</dc:creator>
  <cp:keywords/>
  <dc:description/>
  <cp:lastModifiedBy>Kaley Dion</cp:lastModifiedBy>
  <cp:revision/>
  <cp:lastPrinted>2024-11-20T13:24:12Z</cp:lastPrinted>
  <dcterms:created xsi:type="dcterms:W3CDTF">2002-09-04T18:18:08Z</dcterms:created>
  <dcterms:modified xsi:type="dcterms:W3CDTF">2024-11-25T14:27:01Z</dcterms:modified>
  <cp:category/>
  <cp:contentStatus/>
</cp:coreProperties>
</file>