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DF836D92-0EC6-4F3C-9BAE-24A45CEDD91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rrockrep" sheetId="8" r:id="rId1"/>
  </sheets>
  <definedNames>
    <definedName name="_xlnm.Print_Area" localSheetId="0">rrockrep!$A$1:$L$151</definedName>
    <definedName name="_xlnm.Print_Titles" localSheetId="0">rrockrep!$1:$2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" i="8" l="1"/>
  <c r="F80" i="8"/>
  <c r="K151" i="8"/>
  <c r="J151" i="8"/>
  <c r="K147" i="8"/>
  <c r="J147" i="8"/>
  <c r="L147" i="8"/>
  <c r="K142" i="8"/>
  <c r="J142" i="8"/>
  <c r="K137" i="8"/>
  <c r="J137" i="8"/>
  <c r="K131" i="8"/>
  <c r="J131" i="8"/>
  <c r="K124" i="8"/>
  <c r="J124" i="8"/>
  <c r="K120" i="8"/>
  <c r="J120" i="8"/>
  <c r="K115" i="8"/>
  <c r="J115" i="8"/>
  <c r="K109" i="8"/>
  <c r="J109" i="8"/>
  <c r="K104" i="8"/>
  <c r="J104" i="8"/>
  <c r="K80" i="8"/>
  <c r="J80" i="8"/>
  <c r="K74" i="8"/>
  <c r="J74" i="8"/>
  <c r="K70" i="8"/>
  <c r="J70" i="8"/>
  <c r="K66" i="8"/>
  <c r="J66" i="8"/>
  <c r="K61" i="8"/>
  <c r="J61" i="8"/>
  <c r="K45" i="8"/>
  <c r="J45" i="8"/>
  <c r="K31" i="8"/>
  <c r="J31" i="8"/>
  <c r="K12" i="8"/>
  <c r="J12" i="8"/>
  <c r="K7" i="8"/>
  <c r="J7" i="8"/>
  <c r="L151" i="8"/>
  <c r="C151" i="8"/>
  <c r="L142" i="8"/>
  <c r="L137" i="8"/>
  <c r="B137" i="8"/>
  <c r="L131" i="8"/>
  <c r="C131" i="8"/>
  <c r="L124" i="8"/>
  <c r="C124" i="8"/>
  <c r="L120" i="8"/>
  <c r="C120" i="8"/>
  <c r="L115" i="8"/>
  <c r="L109" i="8"/>
  <c r="C109" i="8"/>
  <c r="B109" i="8"/>
  <c r="L104" i="8"/>
  <c r="E104" i="8"/>
  <c r="D104" i="8"/>
  <c r="L80" i="8"/>
  <c r="E80" i="8"/>
  <c r="D80" i="8"/>
  <c r="L74" i="8"/>
  <c r="B74" i="8"/>
  <c r="L70" i="8"/>
  <c r="B70" i="8"/>
  <c r="L66" i="8"/>
  <c r="G66" i="8"/>
  <c r="F66" i="8"/>
  <c r="E66" i="8"/>
  <c r="L61" i="8"/>
  <c r="C61" i="8"/>
  <c r="L45" i="8"/>
  <c r="D45" i="8"/>
  <c r="L31" i="8"/>
  <c r="L12" i="8"/>
  <c r="G12" i="8"/>
  <c r="F12" i="8"/>
  <c r="E12" i="8"/>
  <c r="L7" i="8"/>
  <c r="G7" i="8"/>
  <c r="F7" i="8"/>
  <c r="E7" i="8"/>
  <c r="B151" i="8"/>
  <c r="B147" i="8" l="1"/>
  <c r="B142" i="8"/>
  <c r="B131" i="8"/>
  <c r="B124" i="8"/>
  <c r="B120" i="8"/>
  <c r="B115" i="8"/>
  <c r="B104" i="8"/>
  <c r="C104" i="8"/>
  <c r="B80" i="8"/>
  <c r="C80" i="8"/>
  <c r="C74" i="8"/>
  <c r="B66" i="8"/>
  <c r="C66" i="8"/>
  <c r="D66" i="8"/>
  <c r="B61" i="8"/>
  <c r="B45" i="8"/>
  <c r="C45" i="8"/>
  <c r="B31" i="8"/>
  <c r="C31" i="8"/>
  <c r="D31" i="8"/>
  <c r="E31" i="8"/>
  <c r="B12" i="8"/>
  <c r="C12" i="8"/>
  <c r="D12" i="8"/>
  <c r="B7" i="8"/>
  <c r="C7" i="8"/>
  <c r="D7" i="8"/>
</calcChain>
</file>

<file path=xl/sharedStrings.xml><?xml version="1.0" encoding="utf-8"?>
<sst xmlns="http://schemas.openxmlformats.org/spreadsheetml/2006/main" count="429" uniqueCount="253">
  <si>
    <t>Nottingham</t>
  </si>
  <si>
    <t>Northwood</t>
  </si>
  <si>
    <t>Deerfield</t>
  </si>
  <si>
    <t>Candia</t>
  </si>
  <si>
    <t>Raymond</t>
  </si>
  <si>
    <t>Auburn</t>
  </si>
  <si>
    <t>Londonderry</t>
  </si>
  <si>
    <t>Salem</t>
  </si>
  <si>
    <t>Windham</t>
  </si>
  <si>
    <t>Atkinson</t>
  </si>
  <si>
    <t>Derry</t>
  </si>
  <si>
    <t>Chester</t>
  </si>
  <si>
    <t>Danville</t>
  </si>
  <si>
    <t>Kingston</t>
  </si>
  <si>
    <t>Plaistow</t>
  </si>
  <si>
    <t>Sandown</t>
  </si>
  <si>
    <t>Fremont</t>
  </si>
  <si>
    <t>Epping</t>
  </si>
  <si>
    <t>Brentwood</t>
  </si>
  <si>
    <t>East Kingston</t>
  </si>
  <si>
    <t>Newton</t>
  </si>
  <si>
    <t>Newfields</t>
  </si>
  <si>
    <t>Newmarket</t>
  </si>
  <si>
    <t>Exeter</t>
  </si>
  <si>
    <t>North Hampton</t>
  </si>
  <si>
    <t>Stratham</t>
  </si>
  <si>
    <t>Hampton Falls</t>
  </si>
  <si>
    <t>Kensington</t>
  </si>
  <si>
    <t>Seabrook</t>
  </si>
  <si>
    <t>South Hampton</t>
  </si>
  <si>
    <t>Hampton</t>
  </si>
  <si>
    <t>Newington</t>
  </si>
  <si>
    <t>Portsmouth Ward 1</t>
  </si>
  <si>
    <t>Portsmouth Ward 2</t>
  </si>
  <si>
    <t>Portsmouth Ward 3</t>
  </si>
  <si>
    <t>Portsmouth Ward 4</t>
  </si>
  <si>
    <t>Portsmouth Ward 5</t>
  </si>
  <si>
    <t>Greenland</t>
  </si>
  <si>
    <t>New Castle</t>
  </si>
  <si>
    <t>Rye</t>
  </si>
  <si>
    <t>District No. 2 (3)</t>
  </si>
  <si>
    <t>Hampstead</t>
  </si>
  <si>
    <t>District No. 9 (2)</t>
  </si>
  <si>
    <t>District No. 24 (2)</t>
  </si>
  <si>
    <t>District No. 22 (1)</t>
  </si>
  <si>
    <t>District No. 23 (1)</t>
  </si>
  <si>
    <t>District No. 26 (1)</t>
  </si>
  <si>
    <t>District No. 27 (1)</t>
  </si>
  <si>
    <t>District No. 28 (1)</t>
  </si>
  <si>
    <t>District No. 32 (1)FL</t>
  </si>
  <si>
    <t>District No. 33 (1)FL</t>
  </si>
  <si>
    <t>District No. 34 (1)FL</t>
  </si>
  <si>
    <t>District No. 35 (1)FL</t>
  </si>
  <si>
    <t>District No. 36 (1)FL</t>
  </si>
  <si>
    <t>District No. 37 (1)FL</t>
  </si>
  <si>
    <t>District No. 20 (3)</t>
  </si>
  <si>
    <t xml:space="preserve"> </t>
  </si>
  <si>
    <t>District No. 1 (3)</t>
  </si>
  <si>
    <t>Totals</t>
  </si>
  <si>
    <t>District No. 3 (1)</t>
  </si>
  <si>
    <t>District No. 4 (3)</t>
  </si>
  <si>
    <t>District No. 5 (2)</t>
  </si>
  <si>
    <t>District No. 6 (1)</t>
  </si>
  <si>
    <t>District No. 7 (1)</t>
  </si>
  <si>
    <t>District No. 8 (1)</t>
  </si>
  <si>
    <t>District No. 10 (3)</t>
  </si>
  <si>
    <t>Newfield</t>
  </si>
  <si>
    <t>District No. 11 (4)</t>
  </si>
  <si>
    <t>District No. 12 (2)</t>
  </si>
  <si>
    <t>District No. 13 (10)</t>
  </si>
  <si>
    <t>District No. 14 (2)</t>
  </si>
  <si>
    <t>District No. 15 (2)</t>
  </si>
  <si>
    <t>District No. 16 (7)</t>
  </si>
  <si>
    <t>District No. 17 (4)</t>
  </si>
  <si>
    <t>District No. 18 (2)</t>
  </si>
  <si>
    <t>District No. 19 (1)</t>
  </si>
  <si>
    <t>District No. 21 (1)</t>
  </si>
  <si>
    <t>District No. 25 (9)</t>
  </si>
  <si>
    <t>District No. 29 (4)</t>
  </si>
  <si>
    <t>District No. 30 (2)</t>
  </si>
  <si>
    <t>District No. 31 (2)FL</t>
  </si>
  <si>
    <t>District No. 38 (1) FL</t>
  </si>
  <si>
    <t>District No. 39 (1) FL</t>
  </si>
  <si>
    <t>District No. 40 (1) FL</t>
  </si>
  <si>
    <t>Charlotte Fyfe, d</t>
  </si>
  <si>
    <t>Hal Rafter, d</t>
  </si>
  <si>
    <t>Pamela Sanderson, d</t>
  </si>
  <si>
    <t>Scott R. Bryer, r</t>
  </si>
  <si>
    <t>James Guzofski, r</t>
  </si>
  <si>
    <t>Paul D. Tudor, r</t>
  </si>
  <si>
    <t>Kendra Cohen, d</t>
  </si>
  <si>
    <t>Nick Karakoudas, d</t>
  </si>
  <si>
    <t>Judith Lindsey, d</t>
  </si>
  <si>
    <t>Jason Osborne, r</t>
  </si>
  <si>
    <t>James Spillane, r</t>
  </si>
  <si>
    <t>Kevin Verville, r</t>
  </si>
  <si>
    <t>Jane W. Van Zandt, d</t>
  </si>
  <si>
    <t>Mary J. Ford, r</t>
  </si>
  <si>
    <t>David K. Bodman, d</t>
  </si>
  <si>
    <t>Art Hunt, d</t>
  </si>
  <si>
    <t>Christopher Lee, d</t>
  </si>
  <si>
    <t>Cindy L. Bennett, r</t>
  </si>
  <si>
    <t>Mike Drago, r</t>
  </si>
  <si>
    <t>Brian Nadeau, r</t>
  </si>
  <si>
    <t>Jade A. Flad-Vilardi, d</t>
  </si>
  <si>
    <t>Mark Vallone, d</t>
  </si>
  <si>
    <t>Cody M. Belanger, r</t>
  </si>
  <si>
    <t>Michael Vose, r</t>
  </si>
  <si>
    <t>Eric S. Turer, d</t>
  </si>
  <si>
    <t>Sheila S. Johannesen, d</t>
  </si>
  <si>
    <t>Sayra Lynn DeVito, r</t>
  </si>
  <si>
    <t>Keith D. Cronyn, d</t>
  </si>
  <si>
    <t>Leslie Kruithof, d</t>
  </si>
  <si>
    <t>Donald Evan Selby, r</t>
  </si>
  <si>
    <t>Vicki Wilson, r</t>
  </si>
  <si>
    <t>Michael Cahill, d</t>
  </si>
  <si>
    <t>Ellen Read, d</t>
  </si>
  <si>
    <t>Toni Weinstein, d</t>
  </si>
  <si>
    <t>Jeanene Cooper, r</t>
  </si>
  <si>
    <t>Julie D. Gilman, d</t>
  </si>
  <si>
    <t>Gaby Grossman, d</t>
  </si>
  <si>
    <t>Linda J. Haskins, d</t>
  </si>
  <si>
    <t>Mark Paige, d</t>
  </si>
  <si>
    <t>Robert Goeman, r</t>
  </si>
  <si>
    <t>Brian Griset, r</t>
  </si>
  <si>
    <t>William A. Smith, r</t>
  </si>
  <si>
    <t>Allison Knab, d</t>
  </si>
  <si>
    <t>Zoe R. Manos, d</t>
  </si>
  <si>
    <t>Jessica Kliskey, r</t>
  </si>
  <si>
    <t>James Scamman, r</t>
  </si>
  <si>
    <t>Jamie Carreau, d</t>
  </si>
  <si>
    <t>Frances Keenan, d</t>
  </si>
  <si>
    <t>Sanjeev Lath, d</t>
  </si>
  <si>
    <t>Johnathan West, d</t>
  </si>
  <si>
    <t>Charles Foote, r</t>
  </si>
  <si>
    <t>Phyllis Katsakiores, r</t>
  </si>
  <si>
    <t>Erica Layon, r</t>
  </si>
  <si>
    <t>David Love, r</t>
  </si>
  <si>
    <t>David E. Milz, r</t>
  </si>
  <si>
    <t>Jodi Nelson, r</t>
  </si>
  <si>
    <t>Stephen Pearson, r</t>
  </si>
  <si>
    <t>John Potucek, r</t>
  </si>
  <si>
    <t>Katherine Prudhomme-O'Brien, r</t>
  </si>
  <si>
    <t>Richard Tripp, r</t>
  </si>
  <si>
    <t>Pam Brown, r</t>
  </si>
  <si>
    <t>Kenneth L. Weyler, r</t>
  </si>
  <si>
    <t>Lisa DeMio, d</t>
  </si>
  <si>
    <t>Laurie A. Warnock, d</t>
  </si>
  <si>
    <t>Joe Guthrie, r</t>
  </si>
  <si>
    <t>Lilli Walsh, r</t>
  </si>
  <si>
    <t>William Adams, d</t>
  </si>
  <si>
    <t>Bill Fanning, d</t>
  </si>
  <si>
    <t>Anne H. Fenn, d</t>
  </si>
  <si>
    <t>Jim Green, d</t>
  </si>
  <si>
    <t>Michela Hites, d</t>
  </si>
  <si>
    <t>Paul Skudlarek, d</t>
  </si>
  <si>
    <t>Tom Dolan, r</t>
  </si>
  <si>
    <t>Ron Dunn, r</t>
  </si>
  <si>
    <t>David Lundgren, r</t>
  </si>
  <si>
    <t>Wayne D. MacDonald, r</t>
  </si>
  <si>
    <t>Sherman Packard, r</t>
  </si>
  <si>
    <t>Kristine Perez, r</t>
  </si>
  <si>
    <t>Doug Thomas, r</t>
  </si>
  <si>
    <t>Michael Caruso, d</t>
  </si>
  <si>
    <t>David Martsolf, d</t>
  </si>
  <si>
    <t>Edward Schoen, d</t>
  </si>
  <si>
    <t>Marie Yanish, d</t>
  </si>
  <si>
    <t>Katelyn Kuttab, r</t>
  </si>
  <si>
    <t>Bob Lynn, r</t>
  </si>
  <si>
    <t>Charles E. McMahon, r</t>
  </si>
  <si>
    <t>Daniel Popovici-Muller, r</t>
  </si>
  <si>
    <t>Michael Boucher, d</t>
  </si>
  <si>
    <t>Debra L. DeSimone, r</t>
  </si>
  <si>
    <t>Jay Markell, r</t>
  </si>
  <si>
    <t>Wendy Larson, d</t>
  </si>
  <si>
    <t>Susan M. Porcelli, r</t>
  </si>
  <si>
    <t>Nancy Bishop, d</t>
  </si>
  <si>
    <t>Stan G. Duncan, d</t>
  </si>
  <si>
    <t>Elizabeth Kosta, d</t>
  </si>
  <si>
    <t>Robert Harb, r</t>
  </si>
  <si>
    <t>Charles R. Melvin Sr., r</t>
  </si>
  <si>
    <t>James Summers, r</t>
  </si>
  <si>
    <t>Jennifer Mandelbaum, d</t>
  </si>
  <si>
    <t>Kate Murray, d</t>
  </si>
  <si>
    <t>Thom Rossi, r</t>
  </si>
  <si>
    <t>Jim Maggiore, d</t>
  </si>
  <si>
    <t>Jennifer L. Smith, r</t>
  </si>
  <si>
    <t>Jaci Grote, d</t>
  </si>
  <si>
    <t>Dennis Malloy, d</t>
  </si>
  <si>
    <t>Marilyn Page, r</t>
  </si>
  <si>
    <t>Kevin Szmyd, r</t>
  </si>
  <si>
    <t>Jack Connell, d</t>
  </si>
  <si>
    <t>Greg F. Davis, d</t>
  </si>
  <si>
    <t>Dionne Garon, d</t>
  </si>
  <si>
    <t>Daniel Guild, d</t>
  </si>
  <si>
    <t>Ernest M. Hicks, d</t>
  </si>
  <si>
    <t>Claire Karibian, d</t>
  </si>
  <si>
    <t>Donna Loranger, d</t>
  </si>
  <si>
    <t>Tanya Donnelly, r</t>
  </si>
  <si>
    <t>Fred Doucette, r</t>
  </si>
  <si>
    <t>John Janigian, r</t>
  </si>
  <si>
    <t>Dennis Mannion, r</t>
  </si>
  <si>
    <t>Valerie McDonnell, r</t>
  </si>
  <si>
    <t>Joe Sweeney, r</t>
  </si>
  <si>
    <t>John Sytek, r</t>
  </si>
  <si>
    <t>Susan J. Vandecasteele, r</t>
  </si>
  <si>
    <t>Buzz Scherr, d</t>
  </si>
  <si>
    <t>Gerald W.R. Ward, d</t>
  </si>
  <si>
    <t>Diane D. Bitter, r</t>
  </si>
  <si>
    <t>Carrie Sorensen, d</t>
  </si>
  <si>
    <t>Sue Polidura, r</t>
  </si>
  <si>
    <t>Alan S. Blair, d</t>
  </si>
  <si>
    <t>Erica de Vries, d</t>
  </si>
  <si>
    <t>Mike Edgar, d</t>
  </si>
  <si>
    <t>Chris Muns, d</t>
  </si>
  <si>
    <t>Nicholas D. Bridle, r</t>
  </si>
  <si>
    <t>David Hagen, r</t>
  </si>
  <si>
    <t>Ken Sheffert, r</t>
  </si>
  <si>
    <t>Bruce Theriault, r</t>
  </si>
  <si>
    <t>Bob Albright, d</t>
  </si>
  <si>
    <t>Justin G. Packard, d</t>
  </si>
  <si>
    <t>Aboul B. Khan, r</t>
  </si>
  <si>
    <t>Matt Sabourin, r</t>
  </si>
  <si>
    <t>Dave DePuy, d</t>
  </si>
  <si>
    <t>Charlotte Lister, d</t>
  </si>
  <si>
    <t>Jess Edwards, r</t>
  </si>
  <si>
    <t>Terry Roy, r</t>
  </si>
  <si>
    <t>Diana West, d</t>
  </si>
  <si>
    <t>Melissa A. Litchfield, r</t>
  </si>
  <si>
    <t>Alexis Simpson, d</t>
  </si>
  <si>
    <t>Jade DeMio, d</t>
  </si>
  <si>
    <t>Mark A. Pearson, r</t>
  </si>
  <si>
    <t>Michelle Stith, d</t>
  </si>
  <si>
    <t>Julius F. Soti, r</t>
  </si>
  <si>
    <t>Eric B. Miller, d</t>
  </si>
  <si>
    <t>JD Bernardy, r</t>
  </si>
  <si>
    <t>James D. Meuse, d</t>
  </si>
  <si>
    <t>Peggy Balboni, d</t>
  </si>
  <si>
    <t>Ned Raynolds, d</t>
  </si>
  <si>
    <t>John P. Carty, d</t>
  </si>
  <si>
    <t>Linda McGrath, r</t>
  </si>
  <si>
    <t>Write-Ins</t>
  </si>
  <si>
    <t>Overvotes</t>
  </si>
  <si>
    <t>Undervotes</t>
  </si>
  <si>
    <t>Allen Cook, r</t>
  </si>
  <si>
    <t>Lorie Ball, r</t>
  </si>
  <si>
    <t>State Representative - ROCKINGHAM County</t>
  </si>
  <si>
    <t>State of New Hampshire - 2024 General Election</t>
  </si>
  <si>
    <t>Laurence A. Miner, r</t>
  </si>
  <si>
    <t>Elle Gallo, d</t>
  </si>
  <si>
    <t>Shaw Tilton, d</t>
  </si>
  <si>
    <t>Lyn Leddy, i</t>
  </si>
  <si>
    <t>Janet Larsen, i&amp;r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</si>
</sst>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0"/>
      <name val="Times"/>
      <family val="1"/>
    </font>
    <font>
      <sz val="9"/>
      <color rgb="FF0070C0"/>
      <name val="Times"/>
      <family val="1"/>
    </font>
    <font>
      <sz val="9"/>
      <color indexed="12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</cellStyleXfs>
  <cellXfs count="83">
    <xf numFmtId="0" fontId="0" fillId="0" borderId="0" xfId="0"/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Continuous"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3" xfId="0" applyFont="1" applyBorder="1"/>
    <xf numFmtId="0" fontId="4" fillId="0" borderId="3" xfId="0" applyFont="1" applyBorder="1"/>
    <xf numFmtId="0" fontId="4" fillId="0" borderId="4" xfId="0" applyFont="1" applyBorder="1"/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0" borderId="3" xfId="0" applyFont="1" applyBorder="1" applyAlignment="1">
      <alignment horizontal="center"/>
    </xf>
    <xf numFmtId="0" fontId="4" fillId="2" borderId="3" xfId="0" applyFont="1" applyFill="1" applyBorder="1"/>
    <xf numFmtId="0" fontId="6" fillId="0" borderId="3" xfId="0" applyFont="1" applyBorder="1" applyAlignment="1">
      <alignment horizontal="right" wrapText="1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 wrapText="1"/>
    </xf>
    <xf numFmtId="165" fontId="8" fillId="0" borderId="7" xfId="0" applyNumberFormat="1" applyFont="1" applyBorder="1" applyAlignment="1">
      <alignment horizontal="left" wrapText="1"/>
    </xf>
    <xf numFmtId="0" fontId="6" fillId="0" borderId="3" xfId="0" applyFont="1" applyBorder="1" applyAlignment="1">
      <alignment horizontal="centerContinuous" wrapText="1"/>
    </xf>
    <xf numFmtId="0" fontId="4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164" fontId="6" fillId="0" borderId="3" xfId="1" applyNumberFormat="1" applyFont="1" applyFill="1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4" xfId="0" applyFont="1" applyBorder="1" applyAlignment="1">
      <alignment horizontal="centerContinuous" wrapText="1"/>
    </xf>
    <xf numFmtId="0" fontId="6" fillId="0" borderId="2" xfId="0" applyFont="1" applyBorder="1" applyAlignment="1">
      <alignment wrapText="1"/>
    </xf>
    <xf numFmtId="164" fontId="6" fillId="0" borderId="3" xfId="1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6" fillId="0" borderId="3" xfId="0" applyFont="1" applyBorder="1"/>
    <xf numFmtId="0" fontId="10" fillId="0" borderId="3" xfId="0" applyFont="1" applyBorder="1" applyAlignment="1">
      <alignment wrapText="1"/>
    </xf>
    <xf numFmtId="0" fontId="6" fillId="0" borderId="1" xfId="0" applyFont="1" applyBorder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9" xfId="0" applyFont="1" applyBorder="1" applyAlignment="1">
      <alignment wrapText="1"/>
    </xf>
    <xf numFmtId="164" fontId="6" fillId="0" borderId="1" xfId="1" applyNumberFormat="1" applyFont="1" applyBorder="1" applyAlignment="1">
      <alignment wrapText="1"/>
    </xf>
    <xf numFmtId="164" fontId="6" fillId="0" borderId="3" xfId="1" applyNumberFormat="1" applyFont="1" applyBorder="1" applyAlignment="1">
      <alignment wrapText="1"/>
    </xf>
    <xf numFmtId="164" fontId="6" fillId="0" borderId="3" xfId="1" applyNumberFormat="1" applyFont="1" applyBorder="1" applyAlignment="1">
      <alignment horizontal="right"/>
    </xf>
    <xf numFmtId="164" fontId="6" fillId="0" borderId="3" xfId="1" applyNumberFormat="1" applyFont="1" applyBorder="1" applyAlignment="1">
      <alignment horizontal="center"/>
    </xf>
    <xf numFmtId="164" fontId="6" fillId="0" borderId="3" xfId="1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right"/>
    </xf>
    <xf numFmtId="164" fontId="6" fillId="0" borderId="1" xfId="1" applyNumberFormat="1" applyFont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wrapText="1"/>
    </xf>
    <xf numFmtId="164" fontId="11" fillId="0" borderId="3" xfId="1" applyNumberFormat="1" applyFont="1" applyBorder="1" applyAlignment="1">
      <alignment wrapText="1"/>
    </xf>
    <xf numFmtId="164" fontId="6" fillId="0" borderId="3" xfId="1" applyNumberFormat="1" applyFont="1" applyBorder="1" applyAlignment="1">
      <alignment horizontal="right" wrapText="1"/>
    </xf>
    <xf numFmtId="0" fontId="6" fillId="2" borderId="9" xfId="0" applyFont="1" applyFill="1" applyBorder="1" applyAlignment="1">
      <alignment horizontal="right" wrapText="1"/>
    </xf>
    <xf numFmtId="0" fontId="6" fillId="2" borderId="9" xfId="0" applyFont="1" applyFill="1" applyBorder="1" applyAlignment="1">
      <alignment wrapText="1"/>
    </xf>
    <xf numFmtId="0" fontId="6" fillId="2" borderId="10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164" fontId="6" fillId="0" borderId="1" xfId="1" applyNumberFormat="1" applyFont="1" applyFill="1" applyBorder="1" applyAlignment="1">
      <alignment wrapText="1"/>
    </xf>
    <xf numFmtId="164" fontId="6" fillId="2" borderId="1" xfId="1" applyNumberFormat="1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3" fontId="6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8" fillId="0" borderId="2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</cellXfs>
  <cellStyles count="8">
    <cellStyle name="Comma" xfId="1" builtinId="3"/>
    <cellStyle name="Normal" xfId="0" builtinId="0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4" xfId="6" xr:uid="{00000000-0005-0000-0000-000006000000}"/>
    <cellStyle name="Normal 3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836710</xdr:colOff>
      <xdr:row>7</xdr:row>
      <xdr:rowOff>0</xdr:rowOff>
    </xdr:to>
    <xdr:sp macro="" textlink="">
      <xdr:nvSpPr>
        <xdr:cNvPr id="8210" name="Text Box 18">
          <a:extLst>
            <a:ext uri="{FF2B5EF4-FFF2-40B4-BE49-F238E27FC236}">
              <a16:creationId xmlns:a16="http://schemas.microsoft.com/office/drawing/2014/main" id="{FAE2BE7C-7A75-4C5F-87DA-0A9C55007002}"/>
            </a:ext>
          </a:extLst>
        </xdr:cNvPr>
        <xdr:cNvSpPr txBox="1">
          <a:spLocks noChangeArrowheads="1"/>
        </xdr:cNvSpPr>
      </xdr:nvSpPr>
      <xdr:spPr bwMode="auto">
        <a:xfrm>
          <a:off x="47625" y="1981200"/>
          <a:ext cx="8477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7</xdr:row>
      <xdr:rowOff>0</xdr:rowOff>
    </xdr:from>
    <xdr:to>
      <xdr:col>0</xdr:col>
      <xdr:colOff>836710</xdr:colOff>
      <xdr:row>7</xdr:row>
      <xdr:rowOff>0</xdr:rowOff>
    </xdr:to>
    <xdr:sp macro="" textlink="">
      <xdr:nvSpPr>
        <xdr:cNvPr id="8214" name="Text Box 22">
          <a:extLst>
            <a:ext uri="{FF2B5EF4-FFF2-40B4-BE49-F238E27FC236}">
              <a16:creationId xmlns:a16="http://schemas.microsoft.com/office/drawing/2014/main" id="{2E3760EB-FE10-44F6-AA64-C29FF78907FF}"/>
            </a:ext>
          </a:extLst>
        </xdr:cNvPr>
        <xdr:cNvSpPr txBox="1">
          <a:spLocks noChangeArrowheads="1"/>
        </xdr:cNvSpPr>
      </xdr:nvSpPr>
      <xdr:spPr bwMode="auto">
        <a:xfrm>
          <a:off x="47625" y="1981200"/>
          <a:ext cx="8477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45720</xdr:colOff>
      <xdr:row>33</xdr:row>
      <xdr:rowOff>0</xdr:rowOff>
    </xdr:from>
    <xdr:to>
      <xdr:col>0</xdr:col>
      <xdr:colOff>906792</xdr:colOff>
      <xdr:row>33</xdr:row>
      <xdr:rowOff>0</xdr:rowOff>
    </xdr:to>
    <xdr:sp macro="" textlink="">
      <xdr:nvSpPr>
        <xdr:cNvPr id="18506" name="Text Box 1098">
          <a:extLst>
            <a:ext uri="{FF2B5EF4-FFF2-40B4-BE49-F238E27FC236}">
              <a16:creationId xmlns:a16="http://schemas.microsoft.com/office/drawing/2014/main" id="{288108EC-FE2D-4E3F-A66C-7E37C23B5FD0}"/>
            </a:ext>
          </a:extLst>
        </xdr:cNvPr>
        <xdr:cNvSpPr txBox="1">
          <a:spLocks noChangeArrowheads="1"/>
        </xdr:cNvSpPr>
      </xdr:nvSpPr>
      <xdr:spPr bwMode="auto">
        <a:xfrm>
          <a:off x="45720" y="13319760"/>
          <a:ext cx="868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45720</xdr:colOff>
      <xdr:row>33</xdr:row>
      <xdr:rowOff>0</xdr:rowOff>
    </xdr:from>
    <xdr:to>
      <xdr:col>0</xdr:col>
      <xdr:colOff>906792</xdr:colOff>
      <xdr:row>33</xdr:row>
      <xdr:rowOff>0</xdr:rowOff>
    </xdr:to>
    <xdr:sp macro="" textlink="">
      <xdr:nvSpPr>
        <xdr:cNvPr id="18507" name="Text Box 1099">
          <a:extLst>
            <a:ext uri="{FF2B5EF4-FFF2-40B4-BE49-F238E27FC236}">
              <a16:creationId xmlns:a16="http://schemas.microsoft.com/office/drawing/2014/main" id="{ABC1862E-6F89-4F83-846B-3AA4667BEC7B}"/>
            </a:ext>
          </a:extLst>
        </xdr:cNvPr>
        <xdr:cNvSpPr txBox="1">
          <a:spLocks noChangeArrowheads="1"/>
        </xdr:cNvSpPr>
      </xdr:nvSpPr>
      <xdr:spPr bwMode="auto">
        <a:xfrm>
          <a:off x="45720" y="13319760"/>
          <a:ext cx="868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45720</xdr:colOff>
      <xdr:row>31</xdr:row>
      <xdr:rowOff>0</xdr:rowOff>
    </xdr:from>
    <xdr:to>
      <xdr:col>0</xdr:col>
      <xdr:colOff>906792</xdr:colOff>
      <xdr:row>31</xdr:row>
      <xdr:rowOff>0</xdr:rowOff>
    </xdr:to>
    <xdr:sp macro="" textlink="">
      <xdr:nvSpPr>
        <xdr:cNvPr id="10" name="Text Box 1098">
          <a:extLst>
            <a:ext uri="{FF2B5EF4-FFF2-40B4-BE49-F238E27FC236}">
              <a16:creationId xmlns:a16="http://schemas.microsoft.com/office/drawing/2014/main" id="{04B05BA7-5DDB-4E87-98E3-AA688DA14426}"/>
            </a:ext>
          </a:extLst>
        </xdr:cNvPr>
        <xdr:cNvSpPr txBox="1">
          <a:spLocks noChangeArrowheads="1"/>
        </xdr:cNvSpPr>
      </xdr:nvSpPr>
      <xdr:spPr bwMode="auto">
        <a:xfrm>
          <a:off x="45720" y="6697980"/>
          <a:ext cx="86868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45720</xdr:colOff>
      <xdr:row>31</xdr:row>
      <xdr:rowOff>0</xdr:rowOff>
    </xdr:from>
    <xdr:to>
      <xdr:col>0</xdr:col>
      <xdr:colOff>906792</xdr:colOff>
      <xdr:row>31</xdr:row>
      <xdr:rowOff>0</xdr:rowOff>
    </xdr:to>
    <xdr:sp macro="" textlink="">
      <xdr:nvSpPr>
        <xdr:cNvPr id="11" name="Text Box 1099">
          <a:extLst>
            <a:ext uri="{FF2B5EF4-FFF2-40B4-BE49-F238E27FC236}">
              <a16:creationId xmlns:a16="http://schemas.microsoft.com/office/drawing/2014/main" id="{83C9C2F9-D8ED-45CF-9D1B-3501BA0D6EC3}"/>
            </a:ext>
          </a:extLst>
        </xdr:cNvPr>
        <xdr:cNvSpPr txBox="1">
          <a:spLocks noChangeArrowheads="1"/>
        </xdr:cNvSpPr>
      </xdr:nvSpPr>
      <xdr:spPr bwMode="auto">
        <a:xfrm>
          <a:off x="45720" y="6697980"/>
          <a:ext cx="868680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P152"/>
  <sheetViews>
    <sheetView tabSelected="1" topLeftCell="A137" zoomScale="126" zoomScaleNormal="130" workbookViewId="0">
      <selection activeCell="B150" sqref="B150"/>
    </sheetView>
  </sheetViews>
  <sheetFormatPr defaultColWidth="10.109375" defaultRowHeight="13.2" x14ac:dyDescent="0.25"/>
  <cols>
    <col min="1" max="1" width="19.33203125" style="2" customWidth="1"/>
    <col min="2" max="2" width="12.88671875" style="33" customWidth="1"/>
    <col min="3" max="3" width="11.88671875" style="33" bestFit="1" customWidth="1"/>
    <col min="4" max="4" width="12" style="33" customWidth="1"/>
    <col min="5" max="5" width="11.5546875" style="33" customWidth="1"/>
    <col min="6" max="6" width="14.33203125" style="33" customWidth="1"/>
    <col min="7" max="7" width="14" style="33" customWidth="1"/>
    <col min="8" max="8" width="10.109375" style="33" customWidth="1"/>
    <col min="9" max="9" width="13.88671875" style="33" customWidth="1"/>
    <col min="10" max="10" width="10.109375" style="42"/>
    <col min="11" max="12" width="10.109375" style="34"/>
    <col min="13" max="16" width="10.109375" style="10"/>
    <col min="17" max="16384" width="10.109375" style="2"/>
  </cols>
  <sheetData>
    <row r="1" spans="1:16" x14ac:dyDescent="0.25">
      <c r="A1" s="75" t="s">
        <v>247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78"/>
    </row>
    <row r="2" spans="1:16" ht="17.25" customHeight="1" x14ac:dyDescent="0.25">
      <c r="A2" s="79" t="s">
        <v>246</v>
      </c>
      <c r="B2" s="80"/>
      <c r="C2" s="80"/>
      <c r="D2" s="80"/>
      <c r="E2" s="80"/>
      <c r="F2" s="80"/>
      <c r="G2" s="80"/>
      <c r="H2" s="80"/>
      <c r="I2" s="80"/>
      <c r="J2" s="80"/>
      <c r="K2" s="81"/>
      <c r="L2" s="82"/>
    </row>
    <row r="3" spans="1:16" ht="17.25" customHeight="1" thickBot="1" x14ac:dyDescent="0.3">
      <c r="A3" s="28">
        <v>45601</v>
      </c>
      <c r="B3" s="45"/>
      <c r="C3" s="45"/>
      <c r="D3" s="45"/>
      <c r="E3" s="45"/>
      <c r="F3" s="45"/>
      <c r="G3" s="45"/>
      <c r="H3" s="45"/>
      <c r="I3" s="45"/>
      <c r="J3" s="45"/>
    </row>
    <row r="4" spans="1:16" ht="24.6" thickTop="1" x14ac:dyDescent="0.25">
      <c r="A4" s="15" t="s">
        <v>57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  <c r="G4" s="19" t="s">
        <v>89</v>
      </c>
      <c r="H4" s="19"/>
      <c r="I4" s="46"/>
      <c r="J4" s="19" t="s">
        <v>243</v>
      </c>
      <c r="K4" s="19" t="s">
        <v>242</v>
      </c>
      <c r="L4" s="19" t="s">
        <v>241</v>
      </c>
      <c r="P4" s="2"/>
    </row>
    <row r="5" spans="1:16" ht="15" customHeight="1" x14ac:dyDescent="0.25">
      <c r="A5" s="2" t="s">
        <v>1</v>
      </c>
      <c r="B5" s="26">
        <v>1149</v>
      </c>
      <c r="C5" s="26">
        <v>1227</v>
      </c>
      <c r="D5" s="26">
        <v>1207</v>
      </c>
      <c r="E5" s="26">
        <v>1556</v>
      </c>
      <c r="F5" s="26">
        <v>1449</v>
      </c>
      <c r="G5" s="26">
        <v>1404</v>
      </c>
      <c r="H5" s="26"/>
      <c r="I5" s="73"/>
      <c r="J5" s="27">
        <v>923</v>
      </c>
      <c r="K5" s="27">
        <v>3</v>
      </c>
      <c r="L5" s="27">
        <v>1</v>
      </c>
      <c r="P5" s="2"/>
    </row>
    <row r="6" spans="1:16" ht="15" customHeight="1" x14ac:dyDescent="0.25">
      <c r="A6" s="2" t="s">
        <v>0</v>
      </c>
      <c r="B6" s="26">
        <v>1673</v>
      </c>
      <c r="C6" s="26">
        <v>1729</v>
      </c>
      <c r="D6" s="26">
        <v>1594</v>
      </c>
      <c r="E6" s="26">
        <v>1780</v>
      </c>
      <c r="F6" s="26">
        <v>1743</v>
      </c>
      <c r="G6" s="26">
        <v>1681</v>
      </c>
      <c r="H6" s="26"/>
      <c r="I6" s="73"/>
      <c r="J6" s="27">
        <v>886</v>
      </c>
      <c r="K6" s="27">
        <v>0</v>
      </c>
      <c r="L6" s="27">
        <v>4</v>
      </c>
      <c r="P6" s="2"/>
    </row>
    <row r="7" spans="1:16" ht="15" customHeight="1" thickBot="1" x14ac:dyDescent="0.3">
      <c r="A7" s="7" t="s">
        <v>58</v>
      </c>
      <c r="B7" s="47">
        <f t="shared" ref="B7:G7" si="0">SUM(B5:B6)</f>
        <v>2822</v>
      </c>
      <c r="C7" s="47">
        <f t="shared" si="0"/>
        <v>2956</v>
      </c>
      <c r="D7" s="47">
        <f t="shared" si="0"/>
        <v>2801</v>
      </c>
      <c r="E7" s="47">
        <f t="shared" si="0"/>
        <v>3336</v>
      </c>
      <c r="F7" s="47">
        <f t="shared" si="0"/>
        <v>3192</v>
      </c>
      <c r="G7" s="47">
        <f t="shared" si="0"/>
        <v>3085</v>
      </c>
      <c r="H7" s="47"/>
      <c r="I7" s="48"/>
      <c r="J7" s="47">
        <f t="shared" ref="J7:K7" si="1">SUM(J5:J6)</f>
        <v>1809</v>
      </c>
      <c r="K7" s="47">
        <f t="shared" si="1"/>
        <v>3</v>
      </c>
      <c r="L7" s="47">
        <f>SUM(L5:L6)</f>
        <v>5</v>
      </c>
      <c r="P7" s="2"/>
    </row>
    <row r="8" spans="1:16" ht="24.6" thickTop="1" x14ac:dyDescent="0.25">
      <c r="A8" s="15" t="s">
        <v>40</v>
      </c>
      <c r="B8" s="19" t="s">
        <v>90</v>
      </c>
      <c r="C8" s="19" t="s">
        <v>91</v>
      </c>
      <c r="D8" s="19" t="s">
        <v>92</v>
      </c>
      <c r="E8" s="19" t="s">
        <v>93</v>
      </c>
      <c r="F8" s="19" t="s">
        <v>94</v>
      </c>
      <c r="G8" s="19" t="s">
        <v>95</v>
      </c>
      <c r="H8" s="19"/>
      <c r="I8" s="19"/>
      <c r="J8" s="19" t="s">
        <v>243</v>
      </c>
      <c r="K8" s="19" t="s">
        <v>242</v>
      </c>
      <c r="L8" s="19" t="s">
        <v>241</v>
      </c>
      <c r="P8" s="2"/>
    </row>
    <row r="9" spans="1:16" x14ac:dyDescent="0.25">
      <c r="A9" s="5" t="s">
        <v>5</v>
      </c>
      <c r="B9" s="49">
        <v>1368</v>
      </c>
      <c r="C9" s="49">
        <v>1291</v>
      </c>
      <c r="D9" s="49">
        <v>1320</v>
      </c>
      <c r="E9" s="49">
        <v>2335</v>
      </c>
      <c r="F9" s="49">
        <v>2145</v>
      </c>
      <c r="G9" s="49">
        <v>2100</v>
      </c>
      <c r="H9" s="49"/>
      <c r="J9" s="33">
        <v>1696</v>
      </c>
      <c r="K9" s="33">
        <v>0</v>
      </c>
      <c r="L9" s="33">
        <v>7</v>
      </c>
      <c r="P9" s="2"/>
    </row>
    <row r="10" spans="1:16" x14ac:dyDescent="0.25">
      <c r="A10" s="5" t="s">
        <v>3</v>
      </c>
      <c r="B10" s="49">
        <v>881</v>
      </c>
      <c r="C10" s="49">
        <v>822</v>
      </c>
      <c r="D10" s="49">
        <v>1023</v>
      </c>
      <c r="E10" s="49">
        <v>1664</v>
      </c>
      <c r="F10" s="49">
        <v>1624</v>
      </c>
      <c r="G10" s="49">
        <v>1573</v>
      </c>
      <c r="H10" s="49"/>
      <c r="J10" s="33">
        <v>1281</v>
      </c>
      <c r="K10" s="33">
        <v>0</v>
      </c>
      <c r="L10" s="33">
        <v>1</v>
      </c>
      <c r="P10" s="2"/>
    </row>
    <row r="11" spans="1:16" s="3" customFormat="1" x14ac:dyDescent="0.25">
      <c r="A11" s="5" t="s">
        <v>2</v>
      </c>
      <c r="B11" s="49">
        <v>1345</v>
      </c>
      <c r="C11" s="49">
        <v>1213</v>
      </c>
      <c r="D11" s="49">
        <v>1226</v>
      </c>
      <c r="E11" s="49">
        <v>1793</v>
      </c>
      <c r="F11" s="49">
        <v>1666</v>
      </c>
      <c r="G11" s="49">
        <v>1726</v>
      </c>
      <c r="H11" s="49"/>
      <c r="I11" s="33"/>
      <c r="J11" s="33">
        <v>1217</v>
      </c>
      <c r="K11" s="33">
        <v>0</v>
      </c>
      <c r="L11" s="33">
        <v>9</v>
      </c>
      <c r="M11" s="11"/>
      <c r="N11" s="11"/>
      <c r="O11" s="11"/>
    </row>
    <row r="12" spans="1:16" s="3" customFormat="1" ht="13.8" thickBot="1" x14ac:dyDescent="0.3">
      <c r="A12" s="17" t="s">
        <v>58</v>
      </c>
      <c r="B12" s="47">
        <f t="shared" ref="B12:G12" si="2">SUM(B9:B11)</f>
        <v>3594</v>
      </c>
      <c r="C12" s="47">
        <f t="shared" si="2"/>
        <v>3326</v>
      </c>
      <c r="D12" s="47">
        <f t="shared" si="2"/>
        <v>3569</v>
      </c>
      <c r="E12" s="47">
        <f t="shared" si="2"/>
        <v>5792</v>
      </c>
      <c r="F12" s="47">
        <f t="shared" si="2"/>
        <v>5435</v>
      </c>
      <c r="G12" s="47">
        <f t="shared" si="2"/>
        <v>5399</v>
      </c>
      <c r="H12" s="47"/>
      <c r="I12" s="50"/>
      <c r="J12" s="47">
        <f t="shared" ref="J12:K12" si="3">SUM(J9:J11)</f>
        <v>4194</v>
      </c>
      <c r="K12" s="47">
        <f t="shared" si="3"/>
        <v>0</v>
      </c>
      <c r="L12" s="47">
        <f>SUM(L9:L11)</f>
        <v>17</v>
      </c>
      <c r="M12" s="11"/>
      <c r="N12" s="11"/>
      <c r="O12" s="11"/>
    </row>
    <row r="13" spans="1:16" ht="24.6" thickTop="1" x14ac:dyDescent="0.25">
      <c r="A13" s="18" t="s">
        <v>59</v>
      </c>
      <c r="B13" s="19" t="s">
        <v>96</v>
      </c>
      <c r="C13" s="19" t="s">
        <v>97</v>
      </c>
      <c r="D13" s="19"/>
      <c r="E13" s="19"/>
      <c r="F13" s="19"/>
      <c r="G13" s="19"/>
      <c r="H13" s="19"/>
      <c r="I13" s="51"/>
      <c r="J13" s="19" t="s">
        <v>243</v>
      </c>
      <c r="K13" s="19" t="s">
        <v>242</v>
      </c>
      <c r="L13" s="19" t="s">
        <v>241</v>
      </c>
      <c r="P13" s="2"/>
    </row>
    <row r="14" spans="1:16" ht="15" customHeight="1" thickBot="1" x14ac:dyDescent="0.3">
      <c r="A14" s="16" t="s">
        <v>11</v>
      </c>
      <c r="B14" s="47">
        <v>1271</v>
      </c>
      <c r="C14" s="47">
        <v>2107</v>
      </c>
      <c r="D14" s="47"/>
      <c r="E14" s="47"/>
      <c r="F14" s="47"/>
      <c r="G14" s="47"/>
      <c r="H14" s="47"/>
      <c r="I14" s="50"/>
      <c r="J14" s="52">
        <v>170</v>
      </c>
      <c r="K14" s="52">
        <v>1</v>
      </c>
      <c r="L14" s="50">
        <v>3</v>
      </c>
      <c r="P14" s="2"/>
    </row>
    <row r="15" spans="1:16" ht="24.6" thickTop="1" x14ac:dyDescent="0.25">
      <c r="A15" s="15" t="s">
        <v>60</v>
      </c>
      <c r="B15" s="19" t="s">
        <v>98</v>
      </c>
      <c r="C15" s="19" t="s">
        <v>99</v>
      </c>
      <c r="D15" s="19" t="s">
        <v>100</v>
      </c>
      <c r="E15" s="19" t="s">
        <v>101</v>
      </c>
      <c r="F15" s="19" t="s">
        <v>102</v>
      </c>
      <c r="G15" s="19" t="s">
        <v>103</v>
      </c>
      <c r="H15" s="19"/>
      <c r="I15" s="19"/>
      <c r="J15" s="19" t="s">
        <v>243</v>
      </c>
      <c r="K15" s="19" t="s">
        <v>242</v>
      </c>
      <c r="L15" s="19" t="s">
        <v>241</v>
      </c>
    </row>
    <row r="16" spans="1:16" ht="13.8" thickBot="1" x14ac:dyDescent="0.3">
      <c r="A16" s="16" t="s">
        <v>4</v>
      </c>
      <c r="B16" s="47">
        <v>1928</v>
      </c>
      <c r="C16" s="47">
        <v>1857</v>
      </c>
      <c r="D16" s="47">
        <v>1982</v>
      </c>
      <c r="E16" s="47">
        <v>3389</v>
      </c>
      <c r="F16" s="47">
        <v>3574</v>
      </c>
      <c r="G16" s="47">
        <v>3440</v>
      </c>
      <c r="H16" s="47"/>
      <c r="I16" s="50"/>
      <c r="J16" s="50">
        <v>2762</v>
      </c>
      <c r="K16" s="50">
        <v>3</v>
      </c>
      <c r="L16" s="50">
        <v>128</v>
      </c>
      <c r="P16" s="2"/>
    </row>
    <row r="17" spans="1:16" ht="24.6" thickTop="1" x14ac:dyDescent="0.25">
      <c r="A17" s="15" t="s">
        <v>61</v>
      </c>
      <c r="B17" s="19" t="s">
        <v>104</v>
      </c>
      <c r="C17" s="19" t="s">
        <v>105</v>
      </c>
      <c r="D17" s="37" t="s">
        <v>106</v>
      </c>
      <c r="E17" s="19" t="s">
        <v>107</v>
      </c>
      <c r="F17" s="19"/>
      <c r="G17" s="19"/>
      <c r="H17" s="19"/>
      <c r="I17" s="51"/>
      <c r="J17" s="19" t="s">
        <v>243</v>
      </c>
      <c r="K17" s="19" t="s">
        <v>242</v>
      </c>
      <c r="L17" s="19" t="s">
        <v>241</v>
      </c>
      <c r="P17" s="2"/>
    </row>
    <row r="18" spans="1:16" ht="12.75" customHeight="1" x14ac:dyDescent="0.25">
      <c r="A18" s="2" t="s">
        <v>17</v>
      </c>
      <c r="B18" s="53">
        <v>1511</v>
      </c>
      <c r="C18" s="53">
        <v>2541</v>
      </c>
      <c r="D18" s="53">
        <v>2337</v>
      </c>
      <c r="E18" s="53">
        <v>2511</v>
      </c>
      <c r="F18" s="53"/>
      <c r="G18" s="53"/>
      <c r="H18" s="53"/>
      <c r="J18" s="33">
        <v>1023</v>
      </c>
      <c r="K18" s="33">
        <v>0</v>
      </c>
      <c r="L18" s="33">
        <v>8</v>
      </c>
      <c r="P18" s="2"/>
    </row>
    <row r="19" spans="1:16" ht="12.75" customHeight="1" thickBot="1" x14ac:dyDescent="0.3">
      <c r="A19" s="8"/>
      <c r="B19" s="54"/>
      <c r="C19" s="54"/>
      <c r="D19" s="54"/>
      <c r="E19" s="54"/>
      <c r="F19" s="54"/>
      <c r="G19" s="54"/>
      <c r="H19" s="54"/>
      <c r="I19" s="50"/>
      <c r="J19" s="50"/>
      <c r="K19" s="50"/>
      <c r="L19" s="50"/>
      <c r="P19" s="2"/>
    </row>
    <row r="20" spans="1:16" ht="13.8" thickTop="1" x14ac:dyDescent="0.25">
      <c r="A20" s="15" t="s">
        <v>62</v>
      </c>
      <c r="B20" s="19" t="s">
        <v>108</v>
      </c>
      <c r="C20" s="19" t="s">
        <v>244</v>
      </c>
      <c r="D20" s="19"/>
      <c r="E20" s="19"/>
      <c r="F20" s="19"/>
      <c r="G20" s="19"/>
      <c r="H20" s="19"/>
      <c r="I20" s="19"/>
      <c r="J20" s="19" t="s">
        <v>243</v>
      </c>
      <c r="K20" s="19" t="s">
        <v>242</v>
      </c>
      <c r="L20" s="19" t="s">
        <v>241</v>
      </c>
      <c r="P20" s="2"/>
    </row>
    <row r="21" spans="1:16" ht="15" customHeight="1" thickBot="1" x14ac:dyDescent="0.3">
      <c r="A21" s="8" t="s">
        <v>18</v>
      </c>
      <c r="B21" s="55">
        <v>1534</v>
      </c>
      <c r="C21" s="56">
        <v>1496</v>
      </c>
      <c r="D21" s="56"/>
      <c r="E21" s="56"/>
      <c r="F21" s="57"/>
      <c r="G21" s="43"/>
      <c r="H21" s="43"/>
      <c r="I21" s="43"/>
      <c r="J21" s="52">
        <v>97</v>
      </c>
      <c r="K21" s="52">
        <v>2</v>
      </c>
      <c r="L21" s="29">
        <v>1</v>
      </c>
      <c r="P21" s="2"/>
    </row>
    <row r="22" spans="1:16" s="14" customFormat="1" ht="24.6" thickTop="1" x14ac:dyDescent="0.25">
      <c r="A22" s="32" t="s">
        <v>63</v>
      </c>
      <c r="B22" s="19" t="s">
        <v>248</v>
      </c>
      <c r="C22" s="19"/>
      <c r="D22" s="19"/>
      <c r="E22" s="19"/>
      <c r="F22" s="19"/>
      <c r="G22" s="19"/>
      <c r="H22" s="19"/>
      <c r="I22" s="19"/>
      <c r="J22" s="19" t="s">
        <v>243</v>
      </c>
      <c r="K22" s="19" t="s">
        <v>242</v>
      </c>
      <c r="L22" s="19" t="s">
        <v>241</v>
      </c>
      <c r="M22" s="31"/>
      <c r="N22" s="31"/>
      <c r="O22" s="31"/>
    </row>
    <row r="23" spans="1:16" ht="13.8" thickBot="1" x14ac:dyDescent="0.3">
      <c r="A23" s="16" t="s">
        <v>16</v>
      </c>
      <c r="B23" s="47">
        <v>2183</v>
      </c>
      <c r="C23" s="47"/>
      <c r="D23" s="47"/>
      <c r="E23" s="47"/>
      <c r="F23" s="47"/>
      <c r="G23" s="47"/>
      <c r="H23" s="50"/>
      <c r="I23" s="50"/>
      <c r="J23" s="52">
        <v>926</v>
      </c>
      <c r="K23" s="52">
        <v>0</v>
      </c>
      <c r="L23" s="50">
        <v>29</v>
      </c>
      <c r="P23" s="2"/>
    </row>
    <row r="24" spans="1:16" s="3" customFormat="1" ht="24.6" thickTop="1" x14ac:dyDescent="0.25">
      <c r="A24" s="15" t="s">
        <v>64</v>
      </c>
      <c r="B24" s="19" t="s">
        <v>109</v>
      </c>
      <c r="C24" s="19" t="s">
        <v>110</v>
      </c>
      <c r="D24" s="19"/>
      <c r="E24" s="19"/>
      <c r="F24" s="19"/>
      <c r="G24" s="19"/>
      <c r="H24" s="19"/>
      <c r="I24" s="19"/>
      <c r="J24" s="19" t="s">
        <v>243</v>
      </c>
      <c r="K24" s="19" t="s">
        <v>242</v>
      </c>
      <c r="L24" s="19" t="s">
        <v>241</v>
      </c>
      <c r="M24" s="11"/>
      <c r="N24" s="11"/>
      <c r="O24" s="11"/>
      <c r="P24" s="11"/>
    </row>
    <row r="25" spans="1:16" ht="13.8" thickBot="1" x14ac:dyDescent="0.3">
      <c r="A25" s="8" t="s">
        <v>12</v>
      </c>
      <c r="B25" s="54">
        <v>1035</v>
      </c>
      <c r="C25" s="54">
        <v>1680</v>
      </c>
      <c r="D25" s="54"/>
      <c r="E25" s="54"/>
      <c r="F25" s="54"/>
      <c r="G25" s="54"/>
      <c r="H25" s="54"/>
      <c r="I25" s="54"/>
      <c r="J25" s="52">
        <v>162</v>
      </c>
      <c r="K25" s="52">
        <v>0</v>
      </c>
      <c r="L25" s="50">
        <v>3</v>
      </c>
      <c r="P25" s="2"/>
    </row>
    <row r="26" spans="1:16" s="3" customFormat="1" ht="24.6" thickTop="1" x14ac:dyDescent="0.25">
      <c r="A26" s="15" t="s">
        <v>42</v>
      </c>
      <c r="B26" s="19" t="s">
        <v>111</v>
      </c>
      <c r="C26" s="19" t="s">
        <v>112</v>
      </c>
      <c r="D26" s="19" t="s">
        <v>113</v>
      </c>
      <c r="E26" s="19" t="s">
        <v>114</v>
      </c>
      <c r="F26" s="19"/>
      <c r="G26" s="19"/>
      <c r="H26" s="51"/>
      <c r="I26" s="51"/>
      <c r="J26" s="19" t="s">
        <v>243</v>
      </c>
      <c r="K26" s="19" t="s">
        <v>242</v>
      </c>
      <c r="L26" s="19" t="s">
        <v>241</v>
      </c>
      <c r="M26" s="11"/>
      <c r="N26" s="11"/>
      <c r="O26" s="11"/>
    </row>
    <row r="27" spans="1:16" ht="13.8" thickBot="1" x14ac:dyDescent="0.3">
      <c r="A27" s="8" t="s">
        <v>15</v>
      </c>
      <c r="B27" s="50">
        <v>1357</v>
      </c>
      <c r="C27" s="50">
        <v>1357</v>
      </c>
      <c r="D27" s="50">
        <v>2389</v>
      </c>
      <c r="E27" s="50">
        <v>2376</v>
      </c>
      <c r="F27" s="50"/>
      <c r="G27" s="50"/>
      <c r="H27" s="50"/>
      <c r="I27" s="50"/>
      <c r="J27" s="52">
        <v>994</v>
      </c>
      <c r="K27" s="52">
        <v>2</v>
      </c>
      <c r="L27" s="50">
        <v>1</v>
      </c>
      <c r="P27" s="2"/>
    </row>
    <row r="28" spans="1:16" ht="24.6" thickTop="1" x14ac:dyDescent="0.25">
      <c r="A28" s="15" t="s">
        <v>65</v>
      </c>
      <c r="B28" s="19" t="s">
        <v>115</v>
      </c>
      <c r="C28" s="19" t="s">
        <v>116</v>
      </c>
      <c r="D28" s="19" t="s">
        <v>117</v>
      </c>
      <c r="E28" s="37" t="s">
        <v>118</v>
      </c>
      <c r="F28" s="37"/>
      <c r="G28" s="19"/>
      <c r="H28" s="20"/>
      <c r="I28" s="20"/>
      <c r="J28" s="19" t="s">
        <v>243</v>
      </c>
      <c r="K28" s="19" t="s">
        <v>242</v>
      </c>
      <c r="L28" s="19" t="s">
        <v>241</v>
      </c>
      <c r="O28" s="2"/>
      <c r="P28" s="2"/>
    </row>
    <row r="29" spans="1:16" x14ac:dyDescent="0.25">
      <c r="A29" s="5" t="s">
        <v>66</v>
      </c>
      <c r="B29" s="26">
        <v>626</v>
      </c>
      <c r="C29" s="26">
        <v>599</v>
      </c>
      <c r="D29" s="26">
        <v>519</v>
      </c>
      <c r="E29" s="27">
        <v>592</v>
      </c>
      <c r="F29" s="27"/>
      <c r="G29" s="6"/>
      <c r="H29" s="26"/>
      <c r="I29" s="6"/>
      <c r="J29" s="6">
        <v>1500</v>
      </c>
      <c r="K29" s="6">
        <v>0</v>
      </c>
      <c r="L29" s="6">
        <v>1</v>
      </c>
      <c r="P29" s="2"/>
    </row>
    <row r="30" spans="1:16" x14ac:dyDescent="0.25">
      <c r="A30" s="5" t="s">
        <v>22</v>
      </c>
      <c r="B30" s="26">
        <v>3448</v>
      </c>
      <c r="C30" s="26">
        <v>3323</v>
      </c>
      <c r="D30" s="26">
        <v>3276</v>
      </c>
      <c r="E30" s="27">
        <v>2241</v>
      </c>
      <c r="F30" s="27"/>
      <c r="G30" s="6"/>
      <c r="H30" s="27"/>
      <c r="I30" s="6"/>
      <c r="J30" s="6">
        <v>5722</v>
      </c>
      <c r="K30" s="6">
        <v>0</v>
      </c>
      <c r="L30" s="6">
        <v>22</v>
      </c>
      <c r="P30" s="2"/>
    </row>
    <row r="31" spans="1:16" ht="13.8" thickBot="1" x14ac:dyDescent="0.3">
      <c r="A31" s="17" t="s">
        <v>58</v>
      </c>
      <c r="B31" s="58">
        <f>SUM(B29:B30)</f>
        <v>4074</v>
      </c>
      <c r="C31" s="58">
        <f>SUM(C29:C30)</f>
        <v>3922</v>
      </c>
      <c r="D31" s="58">
        <f>SUM(D29:D30)</f>
        <v>3795</v>
      </c>
      <c r="E31" s="24">
        <f>SUM(E29:E30)</f>
        <v>2833</v>
      </c>
      <c r="F31" s="24"/>
      <c r="G31" s="50"/>
      <c r="H31" s="24"/>
      <c r="I31" s="50"/>
      <c r="J31" s="24">
        <f t="shared" ref="J31:K31" si="4">SUM(J29:J30)</f>
        <v>7222</v>
      </c>
      <c r="K31" s="24">
        <f t="shared" si="4"/>
        <v>0</v>
      </c>
      <c r="L31" s="24">
        <f>SUM(L29:L30)</f>
        <v>23</v>
      </c>
      <c r="P31" s="2"/>
    </row>
    <row r="32" spans="1:16" s="3" customFormat="1" ht="24.6" thickTop="1" x14ac:dyDescent="0.25">
      <c r="A32" s="15" t="s">
        <v>67</v>
      </c>
      <c r="B32" s="19" t="s">
        <v>119</v>
      </c>
      <c r="C32" s="19" t="s">
        <v>120</v>
      </c>
      <c r="D32" s="19" t="s">
        <v>121</v>
      </c>
      <c r="E32" s="19" t="s">
        <v>122</v>
      </c>
      <c r="F32" s="19" t="s">
        <v>123</v>
      </c>
      <c r="G32" s="19" t="s">
        <v>124</v>
      </c>
      <c r="H32" s="19" t="s">
        <v>125</v>
      </c>
      <c r="I32" s="19"/>
      <c r="J32" s="19" t="s">
        <v>243</v>
      </c>
      <c r="K32" s="19" t="s">
        <v>242</v>
      </c>
      <c r="L32" s="19" t="s">
        <v>241</v>
      </c>
      <c r="M32" s="11"/>
      <c r="N32" s="11"/>
      <c r="O32" s="11"/>
    </row>
    <row r="33" spans="1:16" s="3" customFormat="1" ht="13.8" thickBot="1" x14ac:dyDescent="0.3">
      <c r="A33" s="8" t="s">
        <v>23</v>
      </c>
      <c r="B33" s="38">
        <v>6126</v>
      </c>
      <c r="C33" s="38">
        <v>6026</v>
      </c>
      <c r="D33" s="38">
        <v>5840</v>
      </c>
      <c r="E33" s="38">
        <v>6111</v>
      </c>
      <c r="F33" s="50">
        <v>3216</v>
      </c>
      <c r="G33" s="50">
        <v>3233</v>
      </c>
      <c r="H33" s="50">
        <v>3161</v>
      </c>
      <c r="I33" s="50"/>
      <c r="J33" s="52">
        <v>7931</v>
      </c>
      <c r="K33" s="52">
        <v>0</v>
      </c>
      <c r="L33" s="50">
        <v>16</v>
      </c>
      <c r="M33" s="11"/>
      <c r="N33" s="11"/>
      <c r="O33" s="11"/>
    </row>
    <row r="34" spans="1:16" ht="24.6" thickTop="1" x14ac:dyDescent="0.25">
      <c r="A34" s="15" t="s">
        <v>68</v>
      </c>
      <c r="B34" s="19" t="s">
        <v>126</v>
      </c>
      <c r="C34" s="19" t="s">
        <v>127</v>
      </c>
      <c r="D34" s="19" t="s">
        <v>128</v>
      </c>
      <c r="E34" s="19" t="s">
        <v>129</v>
      </c>
      <c r="F34" s="51"/>
      <c r="G34" s="51"/>
      <c r="H34" s="51"/>
      <c r="I34" s="51"/>
      <c r="J34" s="19" t="s">
        <v>243</v>
      </c>
      <c r="K34" s="19" t="s">
        <v>242</v>
      </c>
      <c r="L34" s="19" t="s">
        <v>241</v>
      </c>
      <c r="P34" s="2"/>
    </row>
    <row r="35" spans="1:16" ht="13.8" thickBot="1" x14ac:dyDescent="0.3">
      <c r="A35" s="8" t="s">
        <v>25</v>
      </c>
      <c r="B35" s="47">
        <v>3046</v>
      </c>
      <c r="C35" s="47">
        <v>2906</v>
      </c>
      <c r="D35" s="22">
        <v>2053</v>
      </c>
      <c r="E35" s="22">
        <v>2326</v>
      </c>
      <c r="F35" s="47"/>
      <c r="G35" s="50"/>
      <c r="H35" s="50"/>
      <c r="I35" s="50"/>
      <c r="J35" s="34">
        <v>812</v>
      </c>
      <c r="K35" s="34">
        <v>0</v>
      </c>
      <c r="L35" s="50">
        <v>5</v>
      </c>
      <c r="P35" s="2"/>
    </row>
    <row r="36" spans="1:16" ht="24.6" thickTop="1" x14ac:dyDescent="0.25">
      <c r="A36" s="18" t="s">
        <v>69</v>
      </c>
      <c r="B36" s="19" t="s">
        <v>130</v>
      </c>
      <c r="C36" s="19" t="s">
        <v>131</v>
      </c>
      <c r="D36" s="19" t="s">
        <v>132</v>
      </c>
      <c r="E36" s="19" t="s">
        <v>133</v>
      </c>
      <c r="F36" s="19" t="s">
        <v>249</v>
      </c>
      <c r="G36" s="19"/>
      <c r="H36" s="19"/>
      <c r="I36" s="19"/>
      <c r="J36" s="19" t="s">
        <v>243</v>
      </c>
      <c r="K36" s="19" t="s">
        <v>242</v>
      </c>
      <c r="L36" s="19" t="s">
        <v>241</v>
      </c>
      <c r="P36" s="2"/>
    </row>
    <row r="37" spans="1:16" x14ac:dyDescent="0.25">
      <c r="A37" s="5" t="s">
        <v>10</v>
      </c>
      <c r="B37" s="38">
        <v>6677</v>
      </c>
      <c r="C37" s="38">
        <v>6402</v>
      </c>
      <c r="D37" s="38">
        <v>6174</v>
      </c>
      <c r="E37" s="38">
        <v>6780</v>
      </c>
      <c r="F37" s="38">
        <v>6925</v>
      </c>
      <c r="G37" s="38"/>
      <c r="H37" s="38"/>
      <c r="I37" s="38"/>
      <c r="J37" s="38">
        <v>66707</v>
      </c>
      <c r="K37" s="38">
        <v>80</v>
      </c>
      <c r="L37" s="38">
        <v>201</v>
      </c>
      <c r="P37" s="2"/>
    </row>
    <row r="38" spans="1:16" ht="24" x14ac:dyDescent="0.25">
      <c r="B38" s="1" t="s">
        <v>143</v>
      </c>
      <c r="C38" s="1" t="s">
        <v>134</v>
      </c>
      <c r="D38" s="1" t="s">
        <v>135</v>
      </c>
      <c r="E38" s="1" t="s">
        <v>136</v>
      </c>
      <c r="F38" s="1" t="s">
        <v>137</v>
      </c>
      <c r="G38" s="1" t="s">
        <v>138</v>
      </c>
      <c r="H38" s="1" t="s">
        <v>139</v>
      </c>
      <c r="I38" s="1"/>
      <c r="J38" s="1"/>
      <c r="K38" s="1"/>
      <c r="L38" s="1"/>
      <c r="P38" s="2"/>
    </row>
    <row r="39" spans="1:16" x14ac:dyDescent="0.25">
      <c r="A39" s="5" t="s">
        <v>10</v>
      </c>
      <c r="B39" s="49">
        <v>7831</v>
      </c>
      <c r="C39" s="49">
        <v>7983</v>
      </c>
      <c r="D39" s="49">
        <v>8123</v>
      </c>
      <c r="E39" s="49">
        <v>8283</v>
      </c>
      <c r="F39" s="49">
        <v>8646</v>
      </c>
      <c r="G39" s="49">
        <v>7844</v>
      </c>
      <c r="H39" s="49">
        <v>8555</v>
      </c>
      <c r="I39" s="49"/>
      <c r="J39" s="33"/>
      <c r="K39" s="33"/>
      <c r="L39" s="33"/>
      <c r="P39" s="2"/>
    </row>
    <row r="40" spans="1:16" s="33" customFormat="1" ht="36" x14ac:dyDescent="0.25">
      <c r="B40" s="1" t="s">
        <v>140</v>
      </c>
      <c r="C40" s="1" t="s">
        <v>141</v>
      </c>
      <c r="D40" s="1" t="s">
        <v>142</v>
      </c>
      <c r="E40" s="1"/>
      <c r="F40" s="1"/>
      <c r="G40" s="1"/>
      <c r="H40" s="1"/>
      <c r="I40" s="1"/>
      <c r="M40" s="34"/>
      <c r="N40" s="34"/>
      <c r="O40" s="34"/>
      <c r="P40" s="34"/>
    </row>
    <row r="41" spans="1:16" ht="13.8" thickBot="1" x14ac:dyDescent="0.3">
      <c r="A41" s="5" t="s">
        <v>10</v>
      </c>
      <c r="B41" s="59">
        <v>7889</v>
      </c>
      <c r="C41" s="59">
        <v>7942</v>
      </c>
      <c r="D41" s="49">
        <v>7905</v>
      </c>
      <c r="E41" s="59"/>
      <c r="F41" s="59"/>
      <c r="G41" s="59"/>
      <c r="H41" s="59"/>
      <c r="I41" s="59"/>
      <c r="J41" s="33"/>
      <c r="K41" s="33"/>
      <c r="L41" s="33"/>
      <c r="P41" s="2"/>
    </row>
    <row r="42" spans="1:16" ht="24.6" thickTop="1" x14ac:dyDescent="0.25">
      <c r="A42" s="18" t="s">
        <v>70</v>
      </c>
      <c r="B42" s="19" t="s">
        <v>250</v>
      </c>
      <c r="C42" s="39" t="s">
        <v>144</v>
      </c>
      <c r="D42" s="19" t="s">
        <v>145</v>
      </c>
      <c r="E42" s="19"/>
      <c r="F42" s="19"/>
      <c r="G42" s="19"/>
      <c r="H42" s="19"/>
      <c r="I42" s="19"/>
      <c r="J42" s="19" t="s">
        <v>243</v>
      </c>
      <c r="K42" s="19" t="s">
        <v>242</v>
      </c>
      <c r="L42" s="19" t="s">
        <v>241</v>
      </c>
      <c r="P42" s="2"/>
    </row>
    <row r="43" spans="1:16" x14ac:dyDescent="0.25">
      <c r="A43" s="5" t="s">
        <v>19</v>
      </c>
      <c r="B43" s="49">
        <v>719</v>
      </c>
      <c r="C43" s="49">
        <v>797</v>
      </c>
      <c r="D43" s="49">
        <v>766</v>
      </c>
      <c r="E43" s="49"/>
      <c r="F43" s="49"/>
      <c r="J43" s="33">
        <v>1157</v>
      </c>
      <c r="K43" s="33">
        <v>0</v>
      </c>
      <c r="L43" s="33">
        <v>16</v>
      </c>
      <c r="P43" s="2"/>
    </row>
    <row r="44" spans="1:16" x14ac:dyDescent="0.25">
      <c r="A44" s="5" t="s">
        <v>13</v>
      </c>
      <c r="B44" s="49">
        <v>1648</v>
      </c>
      <c r="C44" s="49">
        <v>1994</v>
      </c>
      <c r="D44" s="49">
        <v>2031</v>
      </c>
      <c r="E44" s="49"/>
      <c r="F44" s="49"/>
      <c r="G44" s="1"/>
      <c r="J44" s="33">
        <v>2664</v>
      </c>
      <c r="K44" s="33">
        <v>0</v>
      </c>
      <c r="L44" s="33">
        <v>7</v>
      </c>
      <c r="P44" s="2"/>
    </row>
    <row r="45" spans="1:16" ht="13.8" thickBot="1" x14ac:dyDescent="0.3">
      <c r="A45" s="23" t="s">
        <v>58</v>
      </c>
      <c r="B45" s="60">
        <f>SUM(B43:B44)</f>
        <v>2367</v>
      </c>
      <c r="C45" s="60">
        <f>SUM(C43:C44)</f>
        <v>2791</v>
      </c>
      <c r="D45" s="60">
        <f>SUM(D43:D44)</f>
        <v>2797</v>
      </c>
      <c r="E45" s="60"/>
      <c r="F45" s="60"/>
      <c r="G45" s="61"/>
      <c r="H45" s="61"/>
      <c r="I45" s="61"/>
      <c r="J45" s="60">
        <f t="shared" ref="J45:K45" si="5">SUM(J43:J44)</f>
        <v>3821</v>
      </c>
      <c r="K45" s="60">
        <f t="shared" si="5"/>
        <v>0</v>
      </c>
      <c r="L45" s="60">
        <f>SUM(L43:L44)</f>
        <v>23</v>
      </c>
      <c r="P45" s="2"/>
    </row>
    <row r="46" spans="1:16" s="3" customFormat="1" ht="24.6" thickTop="1" x14ac:dyDescent="0.25">
      <c r="A46" s="15" t="s">
        <v>71</v>
      </c>
      <c r="B46" s="19" t="s">
        <v>146</v>
      </c>
      <c r="C46" s="19" t="s">
        <v>147</v>
      </c>
      <c r="D46" s="19" t="s">
        <v>148</v>
      </c>
      <c r="E46" s="19" t="s">
        <v>149</v>
      </c>
      <c r="F46" s="19"/>
      <c r="G46" s="19"/>
      <c r="H46" s="19"/>
      <c r="I46" s="19"/>
      <c r="J46" s="19" t="s">
        <v>243</v>
      </c>
      <c r="K46" s="19" t="s">
        <v>242</v>
      </c>
      <c r="L46" s="19" t="s">
        <v>241</v>
      </c>
      <c r="M46" s="11"/>
      <c r="N46" s="11"/>
      <c r="O46" s="11"/>
    </row>
    <row r="47" spans="1:16" ht="13.8" thickBot="1" x14ac:dyDescent="0.3">
      <c r="A47" s="8" t="s">
        <v>41</v>
      </c>
      <c r="B47" s="54">
        <v>1927</v>
      </c>
      <c r="C47" s="54">
        <v>2234</v>
      </c>
      <c r="D47" s="54">
        <v>3292</v>
      </c>
      <c r="E47" s="62">
        <v>3101</v>
      </c>
      <c r="F47" s="54"/>
      <c r="G47" s="50"/>
      <c r="H47" s="50"/>
      <c r="I47" s="50"/>
      <c r="J47" s="52">
        <v>1580</v>
      </c>
      <c r="K47" s="52">
        <v>2</v>
      </c>
      <c r="L47" s="50">
        <v>2</v>
      </c>
      <c r="P47" s="2"/>
    </row>
    <row r="48" spans="1:16" s="3" customFormat="1" ht="30.6" customHeight="1" thickTop="1" x14ac:dyDescent="0.25">
      <c r="A48" s="15" t="s">
        <v>72</v>
      </c>
      <c r="B48" s="19" t="s">
        <v>150</v>
      </c>
      <c r="C48" s="19" t="s">
        <v>151</v>
      </c>
      <c r="D48" s="19" t="s">
        <v>152</v>
      </c>
      <c r="E48" s="19" t="s">
        <v>153</v>
      </c>
      <c r="F48" s="19" t="s">
        <v>154</v>
      </c>
      <c r="G48" s="19" t="s">
        <v>155</v>
      </c>
      <c r="H48" s="19"/>
      <c r="I48" s="19"/>
      <c r="J48" s="19" t="s">
        <v>243</v>
      </c>
      <c r="K48" s="19" t="s">
        <v>242</v>
      </c>
      <c r="L48" s="19" t="s">
        <v>241</v>
      </c>
      <c r="M48" s="11"/>
      <c r="N48" s="11"/>
      <c r="O48" s="11"/>
    </row>
    <row r="49" spans="1:16" x14ac:dyDescent="0.25">
      <c r="A49" s="2" t="s">
        <v>6</v>
      </c>
      <c r="B49" s="54">
        <v>5816</v>
      </c>
      <c r="C49" s="54">
        <v>5945</v>
      </c>
      <c r="D49" s="54">
        <v>6532</v>
      </c>
      <c r="E49" s="54">
        <v>6170</v>
      </c>
      <c r="F49" s="54">
        <v>6082</v>
      </c>
      <c r="G49" s="63">
        <v>5958</v>
      </c>
      <c r="H49" s="63"/>
      <c r="I49" s="27"/>
      <c r="J49" s="74">
        <v>24965</v>
      </c>
      <c r="K49" s="27">
        <v>35</v>
      </c>
      <c r="L49" s="27">
        <v>75</v>
      </c>
      <c r="P49" s="2"/>
    </row>
    <row r="50" spans="1:16" ht="24" x14ac:dyDescent="0.25">
      <c r="A50" s="2" t="s">
        <v>56</v>
      </c>
      <c r="B50" s="1" t="s">
        <v>162</v>
      </c>
      <c r="C50" s="1" t="s">
        <v>156</v>
      </c>
      <c r="D50" s="1" t="s">
        <v>157</v>
      </c>
      <c r="E50" s="1" t="s">
        <v>159</v>
      </c>
      <c r="F50" s="1" t="s">
        <v>158</v>
      </c>
      <c r="G50" s="1" t="s">
        <v>160</v>
      </c>
      <c r="H50" s="1" t="s">
        <v>161</v>
      </c>
      <c r="J50" s="33"/>
      <c r="K50" s="33"/>
      <c r="L50" s="33"/>
      <c r="P50" s="2"/>
    </row>
    <row r="51" spans="1:16" ht="12" customHeight="1" thickBot="1" x14ac:dyDescent="0.3">
      <c r="A51" s="8" t="s">
        <v>6</v>
      </c>
      <c r="B51" s="50">
        <v>7302</v>
      </c>
      <c r="C51" s="50">
        <v>7895</v>
      </c>
      <c r="D51" s="50">
        <v>7393</v>
      </c>
      <c r="E51" s="50">
        <v>6898</v>
      </c>
      <c r="F51" s="50">
        <v>7917</v>
      </c>
      <c r="G51" s="50">
        <v>7260</v>
      </c>
      <c r="H51" s="24">
        <v>7962</v>
      </c>
      <c r="I51" s="24"/>
      <c r="J51" s="50"/>
      <c r="K51" s="50"/>
      <c r="L51" s="50"/>
      <c r="P51" s="2"/>
    </row>
    <row r="52" spans="1:16" s="14" customFormat="1" ht="24.6" thickTop="1" x14ac:dyDescent="0.25">
      <c r="A52" s="32" t="s">
        <v>73</v>
      </c>
      <c r="B52" s="19" t="s">
        <v>163</v>
      </c>
      <c r="C52" s="19" t="s">
        <v>164</v>
      </c>
      <c r="D52" s="19" t="s">
        <v>165</v>
      </c>
      <c r="E52" s="19" t="s">
        <v>166</v>
      </c>
      <c r="F52" s="19"/>
      <c r="G52" s="19"/>
      <c r="H52" s="19"/>
      <c r="I52" s="19"/>
      <c r="J52" s="19" t="s">
        <v>243</v>
      </c>
      <c r="K52" s="19" t="s">
        <v>242</v>
      </c>
      <c r="L52" s="19" t="s">
        <v>241</v>
      </c>
      <c r="M52" s="31"/>
      <c r="N52" s="31"/>
      <c r="O52" s="31"/>
    </row>
    <row r="53" spans="1:16" s="3" customFormat="1" x14ac:dyDescent="0.25">
      <c r="A53" s="2" t="s">
        <v>8</v>
      </c>
      <c r="B53" s="40">
        <v>3306</v>
      </c>
      <c r="C53" s="40">
        <v>3501</v>
      </c>
      <c r="D53" s="40">
        <v>2924</v>
      </c>
      <c r="E53" s="40">
        <v>3373</v>
      </c>
      <c r="F53" s="40"/>
      <c r="G53" s="1"/>
      <c r="H53" s="1"/>
      <c r="I53" s="33"/>
      <c r="J53" s="33"/>
      <c r="K53" s="33"/>
      <c r="L53" s="33"/>
      <c r="M53" s="11"/>
      <c r="N53" s="11"/>
      <c r="O53" s="11"/>
    </row>
    <row r="54" spans="1:16" s="14" customFormat="1" ht="34.799999999999997" customHeight="1" x14ac:dyDescent="0.25">
      <c r="A54" s="4"/>
      <c r="B54" s="1" t="s">
        <v>167</v>
      </c>
      <c r="C54" s="1" t="s">
        <v>168</v>
      </c>
      <c r="D54" s="1" t="s">
        <v>169</v>
      </c>
      <c r="E54" s="1" t="s">
        <v>170</v>
      </c>
      <c r="F54" s="1"/>
      <c r="G54" s="1"/>
      <c r="H54" s="1"/>
      <c r="I54" s="1"/>
      <c r="J54" s="1"/>
      <c r="K54" s="1"/>
      <c r="L54" s="1"/>
      <c r="M54" s="31"/>
      <c r="N54" s="31"/>
      <c r="O54" s="31"/>
    </row>
    <row r="55" spans="1:16" s="3" customFormat="1" ht="13.8" thickBot="1" x14ac:dyDescent="0.3">
      <c r="A55" s="8" t="s">
        <v>8</v>
      </c>
      <c r="B55" s="24">
        <v>5370</v>
      </c>
      <c r="C55" s="24">
        <v>5225</v>
      </c>
      <c r="D55" s="25">
        <v>5445</v>
      </c>
      <c r="E55" s="25">
        <v>5236</v>
      </c>
      <c r="F55" s="25"/>
      <c r="G55" s="25"/>
      <c r="H55" s="25"/>
      <c r="I55" s="50"/>
      <c r="J55" s="50">
        <v>6173</v>
      </c>
      <c r="K55" s="50">
        <v>0</v>
      </c>
      <c r="L55" s="50">
        <v>16</v>
      </c>
      <c r="M55" s="11"/>
      <c r="N55" s="11"/>
      <c r="O55" s="11"/>
    </row>
    <row r="56" spans="1:16" s="3" customFormat="1" ht="24.6" thickTop="1" x14ac:dyDescent="0.25">
      <c r="A56" s="15" t="s">
        <v>74</v>
      </c>
      <c r="B56" s="19" t="s">
        <v>171</v>
      </c>
      <c r="C56" s="19" t="s">
        <v>172</v>
      </c>
      <c r="D56" s="19" t="s">
        <v>173</v>
      </c>
      <c r="E56" s="19"/>
      <c r="F56" s="39"/>
      <c r="G56" s="41"/>
      <c r="H56" s="19"/>
      <c r="I56" s="19"/>
      <c r="J56" s="19" t="s">
        <v>243</v>
      </c>
      <c r="K56" s="19" t="s">
        <v>242</v>
      </c>
      <c r="L56" s="19" t="s">
        <v>241</v>
      </c>
      <c r="M56" s="11"/>
      <c r="N56" s="11"/>
      <c r="O56" s="11"/>
    </row>
    <row r="57" spans="1:16" ht="13.8" thickBot="1" x14ac:dyDescent="0.3">
      <c r="A57" s="8" t="s">
        <v>9</v>
      </c>
      <c r="B57" s="50">
        <v>2064</v>
      </c>
      <c r="C57" s="50">
        <v>2905</v>
      </c>
      <c r="D57" s="50">
        <v>2540</v>
      </c>
      <c r="E57" s="50"/>
      <c r="F57" s="50"/>
      <c r="G57" s="50"/>
      <c r="H57" s="50"/>
      <c r="I57" s="50"/>
      <c r="J57" s="52">
        <v>2825</v>
      </c>
      <c r="K57" s="52">
        <v>0</v>
      </c>
      <c r="L57" s="50">
        <v>13</v>
      </c>
      <c r="P57" s="2"/>
    </row>
    <row r="58" spans="1:16" ht="24.6" thickTop="1" x14ac:dyDescent="0.25">
      <c r="A58" s="15" t="s">
        <v>75</v>
      </c>
      <c r="B58" s="19" t="s">
        <v>174</v>
      </c>
      <c r="C58" s="19" t="s">
        <v>175</v>
      </c>
      <c r="D58" s="19"/>
      <c r="E58" s="19"/>
      <c r="F58" s="19"/>
      <c r="G58" s="51"/>
      <c r="H58" s="19"/>
      <c r="I58" s="51"/>
      <c r="J58" s="19" t="s">
        <v>243</v>
      </c>
      <c r="K58" s="19" t="s">
        <v>242</v>
      </c>
      <c r="L58" s="19" t="s">
        <v>241</v>
      </c>
      <c r="P58" s="2"/>
    </row>
    <row r="59" spans="1:16" x14ac:dyDescent="0.25">
      <c r="A59" s="2" t="s">
        <v>26</v>
      </c>
      <c r="B59" s="27">
        <v>681</v>
      </c>
      <c r="C59" s="27">
        <v>1011</v>
      </c>
      <c r="D59" s="1"/>
      <c r="E59" s="1"/>
      <c r="F59" s="1"/>
      <c r="H59" s="1"/>
      <c r="J59" s="33">
        <v>58</v>
      </c>
      <c r="K59" s="33">
        <v>1</v>
      </c>
      <c r="L59" s="33">
        <v>0</v>
      </c>
      <c r="P59" s="2"/>
    </row>
    <row r="60" spans="1:16" x14ac:dyDescent="0.25">
      <c r="A60" s="2" t="s">
        <v>27</v>
      </c>
      <c r="B60" s="27">
        <v>698</v>
      </c>
      <c r="C60" s="27">
        <v>835</v>
      </c>
      <c r="D60" s="1"/>
      <c r="E60" s="1"/>
      <c r="F60" s="1"/>
      <c r="H60" s="1"/>
      <c r="J60" s="33">
        <v>61</v>
      </c>
      <c r="K60" s="33">
        <v>0</v>
      </c>
      <c r="L60" s="33">
        <v>0</v>
      </c>
      <c r="P60" s="2"/>
    </row>
    <row r="61" spans="1:16" ht="13.8" thickBot="1" x14ac:dyDescent="0.3">
      <c r="A61" s="7" t="s">
        <v>58</v>
      </c>
      <c r="B61" s="24">
        <f>SUM(B59:B60)</f>
        <v>1379</v>
      </c>
      <c r="C61" s="24">
        <f>SUM(C59:C60)</f>
        <v>1846</v>
      </c>
      <c r="D61" s="25"/>
      <c r="E61" s="25"/>
      <c r="F61" s="25"/>
      <c r="G61" s="50"/>
      <c r="H61" s="25"/>
      <c r="I61" s="50"/>
      <c r="J61" s="24">
        <f t="shared" ref="J61:K61" si="6">SUM(J59:J60)</f>
        <v>119</v>
      </c>
      <c r="K61" s="24">
        <f t="shared" si="6"/>
        <v>1</v>
      </c>
      <c r="L61" s="24">
        <f>SUM(L59:L60)</f>
        <v>0</v>
      </c>
      <c r="P61" s="2"/>
    </row>
    <row r="62" spans="1:16" ht="24.6" thickTop="1" x14ac:dyDescent="0.25">
      <c r="A62" s="15" t="s">
        <v>55</v>
      </c>
      <c r="B62" s="19" t="s">
        <v>176</v>
      </c>
      <c r="C62" s="19" t="s">
        <v>177</v>
      </c>
      <c r="D62" s="19" t="s">
        <v>178</v>
      </c>
      <c r="E62" s="19" t="s">
        <v>179</v>
      </c>
      <c r="F62" s="19" t="s">
        <v>180</v>
      </c>
      <c r="G62" s="19" t="s">
        <v>181</v>
      </c>
      <c r="H62" s="19"/>
      <c r="I62" s="19"/>
      <c r="J62" s="19" t="s">
        <v>243</v>
      </c>
      <c r="K62" s="19" t="s">
        <v>242</v>
      </c>
      <c r="L62" s="19" t="s">
        <v>241</v>
      </c>
      <c r="P62" s="2"/>
    </row>
    <row r="63" spans="1:16" x14ac:dyDescent="0.25">
      <c r="A63" s="2" t="s">
        <v>20</v>
      </c>
      <c r="B63" s="33">
        <v>1084</v>
      </c>
      <c r="C63" s="33">
        <v>979</v>
      </c>
      <c r="D63" s="33">
        <v>1076</v>
      </c>
      <c r="E63" s="33">
        <v>1371</v>
      </c>
      <c r="F63" s="33">
        <v>1519</v>
      </c>
      <c r="G63" s="33">
        <v>1304</v>
      </c>
      <c r="J63" s="33">
        <v>1849</v>
      </c>
      <c r="K63" s="33">
        <v>0</v>
      </c>
      <c r="L63" s="33">
        <v>1</v>
      </c>
      <c r="P63" s="2"/>
    </row>
    <row r="64" spans="1:16" x14ac:dyDescent="0.25">
      <c r="A64" s="2" t="s">
        <v>14</v>
      </c>
      <c r="B64" s="33">
        <v>1615</v>
      </c>
      <c r="C64" s="33">
        <v>1382</v>
      </c>
      <c r="D64" s="33">
        <v>1744</v>
      </c>
      <c r="E64" s="33">
        <v>2643</v>
      </c>
      <c r="F64" s="33">
        <v>2298</v>
      </c>
      <c r="G64" s="33">
        <v>2183</v>
      </c>
      <c r="J64" s="33">
        <v>2341</v>
      </c>
      <c r="K64" s="33">
        <v>0</v>
      </c>
      <c r="L64" s="33">
        <v>4</v>
      </c>
      <c r="P64" s="2"/>
    </row>
    <row r="65" spans="1:16" x14ac:dyDescent="0.25">
      <c r="A65" s="2" t="s">
        <v>29</v>
      </c>
      <c r="B65" s="33">
        <v>233</v>
      </c>
      <c r="C65" s="33">
        <v>224</v>
      </c>
      <c r="D65" s="33">
        <v>230</v>
      </c>
      <c r="E65" s="33">
        <v>283</v>
      </c>
      <c r="F65" s="33">
        <v>315</v>
      </c>
      <c r="G65" s="33">
        <v>262</v>
      </c>
      <c r="J65" s="33">
        <v>364</v>
      </c>
      <c r="K65" s="33">
        <v>0</v>
      </c>
      <c r="L65" s="33">
        <v>0</v>
      </c>
      <c r="P65" s="2"/>
    </row>
    <row r="66" spans="1:16" ht="13.8" thickBot="1" x14ac:dyDescent="0.3">
      <c r="A66" s="7" t="s">
        <v>58</v>
      </c>
      <c r="B66" s="50">
        <f t="shared" ref="B66:G66" si="7">SUM(B63:B65)</f>
        <v>2932</v>
      </c>
      <c r="C66" s="50">
        <f t="shared" si="7"/>
        <v>2585</v>
      </c>
      <c r="D66" s="50">
        <f t="shared" si="7"/>
        <v>3050</v>
      </c>
      <c r="E66" s="50">
        <f t="shared" si="7"/>
        <v>4297</v>
      </c>
      <c r="F66" s="50">
        <f t="shared" si="7"/>
        <v>4132</v>
      </c>
      <c r="G66" s="50">
        <f t="shared" si="7"/>
        <v>3749</v>
      </c>
      <c r="H66" s="50"/>
      <c r="I66" s="52"/>
      <c r="J66" s="50">
        <f t="shared" ref="J66:K66" si="8">SUM(J63:J65)</f>
        <v>4554</v>
      </c>
      <c r="K66" s="50">
        <f t="shared" si="8"/>
        <v>0</v>
      </c>
      <c r="L66" s="50">
        <f>SUM(L63:L65)</f>
        <v>5</v>
      </c>
      <c r="M66" s="2"/>
      <c r="N66" s="2"/>
      <c r="O66" s="2"/>
      <c r="P66" s="2"/>
    </row>
    <row r="67" spans="1:16" s="3" customFormat="1" ht="24.6" thickTop="1" x14ac:dyDescent="0.25">
      <c r="A67" s="15" t="s">
        <v>76</v>
      </c>
      <c r="B67" s="19" t="s">
        <v>182</v>
      </c>
      <c r="C67" s="19"/>
      <c r="D67" s="51"/>
      <c r="E67" s="19"/>
      <c r="F67" s="19"/>
      <c r="G67" s="19"/>
      <c r="H67" s="37"/>
      <c r="I67" s="51"/>
      <c r="J67" s="19" t="s">
        <v>243</v>
      </c>
      <c r="K67" s="19" t="s">
        <v>242</v>
      </c>
      <c r="L67" s="19" t="s">
        <v>241</v>
      </c>
    </row>
    <row r="68" spans="1:16" x14ac:dyDescent="0.25">
      <c r="A68" s="2" t="s">
        <v>31</v>
      </c>
      <c r="B68" s="27">
        <v>512</v>
      </c>
      <c r="C68" s="27"/>
      <c r="E68" s="27"/>
      <c r="F68" s="1"/>
      <c r="G68" s="1"/>
      <c r="H68" s="9"/>
      <c r="J68" s="33">
        <v>298</v>
      </c>
      <c r="K68" s="33">
        <v>0</v>
      </c>
      <c r="L68" s="33">
        <v>7</v>
      </c>
      <c r="M68" s="2"/>
      <c r="N68" s="2"/>
      <c r="O68" s="2"/>
      <c r="P68" s="2"/>
    </row>
    <row r="69" spans="1:16" x14ac:dyDescent="0.25">
      <c r="A69" s="2" t="s">
        <v>32</v>
      </c>
      <c r="B69" s="27">
        <v>2064</v>
      </c>
      <c r="C69" s="27"/>
      <c r="E69" s="27"/>
      <c r="F69" s="1"/>
      <c r="G69" s="1"/>
      <c r="H69" s="9"/>
      <c r="J69" s="33">
        <v>804</v>
      </c>
      <c r="K69" s="33">
        <v>0</v>
      </c>
      <c r="L69" s="33">
        <v>25</v>
      </c>
      <c r="M69" s="2"/>
      <c r="N69" s="2"/>
      <c r="O69" s="2"/>
      <c r="P69" s="2"/>
    </row>
    <row r="70" spans="1:16" s="12" customFormat="1" ht="13.8" thickBot="1" x14ac:dyDescent="0.3">
      <c r="A70" s="21" t="s">
        <v>58</v>
      </c>
      <c r="B70" s="64">
        <f>SUM(B68:B69)</f>
        <v>2576</v>
      </c>
      <c r="C70" s="64"/>
      <c r="D70" s="65"/>
      <c r="E70" s="64"/>
      <c r="F70" s="65"/>
      <c r="G70" s="65"/>
      <c r="H70" s="66"/>
      <c r="I70" s="67"/>
      <c r="J70" s="64">
        <f t="shared" ref="J70:K70" si="9">SUM(J68:J69)</f>
        <v>1102</v>
      </c>
      <c r="K70" s="64">
        <f t="shared" si="9"/>
        <v>0</v>
      </c>
      <c r="L70" s="64">
        <f>SUM(L68:L69)</f>
        <v>32</v>
      </c>
    </row>
    <row r="71" spans="1:16" s="3" customFormat="1" ht="13.8" thickTop="1" x14ac:dyDescent="0.25">
      <c r="A71" s="15" t="s">
        <v>44</v>
      </c>
      <c r="B71" s="19" t="s">
        <v>183</v>
      </c>
      <c r="C71" s="19" t="s">
        <v>184</v>
      </c>
      <c r="D71" s="19"/>
      <c r="E71" s="19"/>
      <c r="F71" s="51"/>
      <c r="G71" s="51"/>
      <c r="H71" s="51"/>
      <c r="I71" s="51"/>
      <c r="J71" s="19" t="s">
        <v>243</v>
      </c>
      <c r="K71" s="19" t="s">
        <v>242</v>
      </c>
      <c r="L71" s="19" t="s">
        <v>241</v>
      </c>
      <c r="M71" s="11"/>
      <c r="N71" s="11"/>
      <c r="O71" s="11"/>
    </row>
    <row r="72" spans="1:16" x14ac:dyDescent="0.25">
      <c r="A72" s="2" t="s">
        <v>38</v>
      </c>
      <c r="B72" s="1">
        <v>502</v>
      </c>
      <c r="C72" s="27">
        <v>313</v>
      </c>
      <c r="D72" s="1"/>
      <c r="E72" s="1"/>
      <c r="J72" s="33">
        <v>33</v>
      </c>
      <c r="K72" s="33">
        <v>1</v>
      </c>
      <c r="L72" s="33">
        <v>1</v>
      </c>
      <c r="P72" s="2"/>
    </row>
    <row r="73" spans="1:16" x14ac:dyDescent="0.25">
      <c r="A73" s="2" t="s">
        <v>36</v>
      </c>
      <c r="B73" s="1">
        <v>1960</v>
      </c>
      <c r="C73" s="27">
        <v>751</v>
      </c>
      <c r="D73" s="1"/>
      <c r="E73" s="1"/>
      <c r="J73" s="33">
        <v>129</v>
      </c>
      <c r="K73" s="33">
        <v>0</v>
      </c>
      <c r="L73" s="33">
        <v>1</v>
      </c>
      <c r="P73" s="2"/>
    </row>
    <row r="74" spans="1:16" ht="13.8" thickBot="1" x14ac:dyDescent="0.3">
      <c r="A74" s="7" t="s">
        <v>58</v>
      </c>
      <c r="B74" s="24">
        <f>SUM(B72:B73)</f>
        <v>2462</v>
      </c>
      <c r="C74" s="24">
        <f>SUM(C72:C73)</f>
        <v>1064</v>
      </c>
      <c r="D74" s="50"/>
      <c r="E74" s="50"/>
      <c r="F74" s="50"/>
      <c r="G74" s="50"/>
      <c r="H74" s="50"/>
      <c r="I74" s="50"/>
      <c r="J74" s="24">
        <f t="shared" ref="J74:K74" si="10">SUM(J72:J73)</f>
        <v>162</v>
      </c>
      <c r="K74" s="24">
        <f t="shared" si="10"/>
        <v>1</v>
      </c>
      <c r="L74" s="24">
        <f>SUM(L72:L73)</f>
        <v>2</v>
      </c>
      <c r="P74" s="2"/>
    </row>
    <row r="75" spans="1:16" ht="24.6" thickTop="1" x14ac:dyDescent="0.25">
      <c r="A75" s="15" t="s">
        <v>45</v>
      </c>
      <c r="B75" s="19" t="s">
        <v>185</v>
      </c>
      <c r="C75" s="19" t="s">
        <v>186</v>
      </c>
      <c r="D75" s="19"/>
      <c r="E75" s="19"/>
      <c r="F75" s="51"/>
      <c r="G75" s="51"/>
      <c r="H75" s="51"/>
      <c r="I75" s="51"/>
      <c r="J75" s="19" t="s">
        <v>243</v>
      </c>
      <c r="K75" s="19" t="s">
        <v>242</v>
      </c>
      <c r="L75" s="19" t="s">
        <v>241</v>
      </c>
      <c r="P75" s="2"/>
    </row>
    <row r="76" spans="1:16" ht="13.8" thickBot="1" x14ac:dyDescent="0.3">
      <c r="A76" s="8" t="s">
        <v>24</v>
      </c>
      <c r="B76" s="50">
        <v>1913</v>
      </c>
      <c r="C76" s="50">
        <v>1414</v>
      </c>
      <c r="D76" s="50"/>
      <c r="E76" s="50"/>
      <c r="F76" s="50"/>
      <c r="G76" s="50"/>
      <c r="H76" s="50"/>
      <c r="I76" s="50"/>
      <c r="J76" s="52">
        <v>125</v>
      </c>
      <c r="K76" s="52">
        <v>0</v>
      </c>
      <c r="L76" s="50">
        <v>1</v>
      </c>
      <c r="P76" s="2"/>
    </row>
    <row r="77" spans="1:16" ht="25.8" customHeight="1" thickTop="1" x14ac:dyDescent="0.25">
      <c r="A77" s="15" t="s">
        <v>43</v>
      </c>
      <c r="B77" s="19" t="s">
        <v>187</v>
      </c>
      <c r="C77" s="19" t="s">
        <v>188</v>
      </c>
      <c r="D77" s="19" t="s">
        <v>189</v>
      </c>
      <c r="E77" s="19" t="s">
        <v>190</v>
      </c>
      <c r="F77" s="19" t="s">
        <v>251</v>
      </c>
      <c r="G77" s="19"/>
      <c r="H77" s="19"/>
      <c r="I77" s="51"/>
      <c r="J77" s="19" t="s">
        <v>243</v>
      </c>
      <c r="K77" s="19" t="s">
        <v>242</v>
      </c>
      <c r="L77" s="19" t="s">
        <v>241</v>
      </c>
      <c r="P77" s="2"/>
    </row>
    <row r="78" spans="1:16" x14ac:dyDescent="0.25">
      <c r="A78" s="2" t="s">
        <v>37</v>
      </c>
      <c r="B78" s="33">
        <v>1218</v>
      </c>
      <c r="C78" s="33">
        <v>1360</v>
      </c>
      <c r="D78" s="33">
        <v>1209</v>
      </c>
      <c r="E78" s="33">
        <v>931</v>
      </c>
      <c r="F78" s="33">
        <v>534</v>
      </c>
      <c r="J78" s="33">
        <v>683</v>
      </c>
      <c r="K78" s="33">
        <v>0</v>
      </c>
      <c r="L78" s="33">
        <v>67</v>
      </c>
      <c r="P78" s="2"/>
    </row>
    <row r="79" spans="1:16" x14ac:dyDescent="0.25">
      <c r="A79" s="2" t="s">
        <v>39</v>
      </c>
      <c r="B79" s="33">
        <v>2261</v>
      </c>
      <c r="C79" s="33">
        <v>2001</v>
      </c>
      <c r="D79" s="33">
        <v>1725</v>
      </c>
      <c r="E79" s="33">
        <v>1672</v>
      </c>
      <c r="F79" s="33">
        <v>355</v>
      </c>
      <c r="J79" s="33">
        <v>822</v>
      </c>
      <c r="K79" s="33">
        <v>0</v>
      </c>
      <c r="L79" s="33">
        <v>1</v>
      </c>
      <c r="P79" s="2"/>
    </row>
    <row r="80" spans="1:16" ht="13.8" thickBot="1" x14ac:dyDescent="0.3">
      <c r="A80" s="7" t="s">
        <v>58</v>
      </c>
      <c r="B80" s="50">
        <f>SUM(B78:B79)</f>
        <v>3479</v>
      </c>
      <c r="C80" s="50">
        <f>SUM(C78:C79)</f>
        <v>3361</v>
      </c>
      <c r="D80" s="50">
        <f>SUM(D78:D79)</f>
        <v>2934</v>
      </c>
      <c r="E80" s="50">
        <f>SUM(E78:E79)</f>
        <v>2603</v>
      </c>
      <c r="F80" s="50">
        <f>SUM(F78:F79)</f>
        <v>889</v>
      </c>
      <c r="G80" s="50"/>
      <c r="H80" s="50"/>
      <c r="I80" s="50"/>
      <c r="J80" s="50">
        <f t="shared" ref="J80:K80" si="11">SUM(J78:J79)</f>
        <v>1505</v>
      </c>
      <c r="K80" s="50">
        <f t="shared" si="11"/>
        <v>0</v>
      </c>
      <c r="L80" s="50">
        <f>SUM(L78:L79)</f>
        <v>68</v>
      </c>
      <c r="P80" s="2"/>
    </row>
    <row r="81" spans="1:16" ht="24.6" thickTop="1" x14ac:dyDescent="0.25">
      <c r="A81" s="15" t="s">
        <v>77</v>
      </c>
      <c r="B81" s="19" t="s">
        <v>191</v>
      </c>
      <c r="C81" s="19" t="s">
        <v>192</v>
      </c>
      <c r="D81" s="19" t="s">
        <v>193</v>
      </c>
      <c r="E81" s="19" t="s">
        <v>194</v>
      </c>
      <c r="F81" s="19" t="s">
        <v>195</v>
      </c>
      <c r="G81" s="19" t="s">
        <v>196</v>
      </c>
      <c r="H81" s="19" t="s">
        <v>197</v>
      </c>
      <c r="I81" s="19"/>
      <c r="J81" s="19" t="s">
        <v>243</v>
      </c>
      <c r="K81" s="19" t="s">
        <v>242</v>
      </c>
      <c r="L81" s="19" t="s">
        <v>241</v>
      </c>
      <c r="P81" s="2"/>
    </row>
    <row r="82" spans="1:16" x14ac:dyDescent="0.25">
      <c r="A82" s="2" t="s">
        <v>7</v>
      </c>
      <c r="B82" s="33">
        <v>5832</v>
      </c>
      <c r="C82" s="33">
        <v>5663</v>
      </c>
      <c r="D82" s="33">
        <v>5596</v>
      </c>
      <c r="E82" s="33">
        <v>5486</v>
      </c>
      <c r="F82" s="33">
        <v>5414</v>
      </c>
      <c r="G82" s="33">
        <v>6217</v>
      </c>
      <c r="H82" s="33">
        <v>6068</v>
      </c>
      <c r="J82" s="33">
        <v>44697</v>
      </c>
      <c r="K82" s="33">
        <v>36</v>
      </c>
      <c r="L82" s="33">
        <v>56</v>
      </c>
      <c r="P82" s="2"/>
    </row>
    <row r="83" spans="1:16" ht="24" x14ac:dyDescent="0.25">
      <c r="B83" s="1" t="s">
        <v>245</v>
      </c>
      <c r="C83" s="1" t="s">
        <v>198</v>
      </c>
      <c r="D83" s="1" t="s">
        <v>199</v>
      </c>
      <c r="E83" s="1" t="s">
        <v>200</v>
      </c>
      <c r="F83" s="1" t="s">
        <v>201</v>
      </c>
      <c r="G83" s="1" t="s">
        <v>202</v>
      </c>
      <c r="H83" s="1"/>
      <c r="I83" s="1"/>
      <c r="J83" s="68"/>
      <c r="K83" s="68"/>
      <c r="L83" s="68"/>
      <c r="O83" s="2"/>
      <c r="P83" s="2"/>
    </row>
    <row r="84" spans="1:16" x14ac:dyDescent="0.25">
      <c r="A84" s="2" t="s">
        <v>7</v>
      </c>
      <c r="B84" s="33">
        <v>9583</v>
      </c>
      <c r="C84" s="33">
        <v>9399</v>
      </c>
      <c r="D84" s="33">
        <v>9685</v>
      </c>
      <c r="E84" s="33">
        <v>9221</v>
      </c>
      <c r="F84" s="33">
        <v>8470</v>
      </c>
      <c r="G84" s="33">
        <v>9084</v>
      </c>
      <c r="J84" s="33"/>
      <c r="K84" s="33"/>
      <c r="L84" s="33"/>
      <c r="P84" s="2"/>
    </row>
    <row r="85" spans="1:16" ht="24" x14ac:dyDescent="0.25">
      <c r="B85" s="1" t="s">
        <v>203</v>
      </c>
      <c r="C85" s="1" t="s">
        <v>204</v>
      </c>
      <c r="D85" s="1" t="s">
        <v>205</v>
      </c>
      <c r="E85" s="1"/>
      <c r="F85" s="1"/>
      <c r="G85" s="1"/>
      <c r="H85" s="1"/>
      <c r="I85" s="42"/>
      <c r="J85" s="68"/>
      <c r="K85" s="68"/>
      <c r="L85" s="68"/>
      <c r="O85" s="2"/>
      <c r="P85" s="2"/>
    </row>
    <row r="86" spans="1:16" ht="13.8" thickBot="1" x14ac:dyDescent="0.3">
      <c r="A86" s="8" t="s">
        <v>7</v>
      </c>
      <c r="B86" s="50">
        <v>9723</v>
      </c>
      <c r="C86" s="50">
        <v>9120</v>
      </c>
      <c r="D86" s="50">
        <v>8991</v>
      </c>
      <c r="E86" s="50"/>
      <c r="F86" s="50"/>
      <c r="G86" s="50"/>
      <c r="H86" s="50"/>
      <c r="I86" s="50"/>
      <c r="J86" s="50"/>
      <c r="K86" s="50"/>
      <c r="L86" s="50"/>
      <c r="P86" s="2"/>
    </row>
    <row r="87" spans="1:16" s="3" customFormat="1" ht="14.1" customHeight="1" thickTop="1" x14ac:dyDescent="0.25">
      <c r="A87" s="15" t="s">
        <v>46</v>
      </c>
      <c r="B87" s="19" t="s">
        <v>206</v>
      </c>
      <c r="C87" s="19"/>
      <c r="D87" s="19"/>
      <c r="E87" s="19"/>
      <c r="F87" s="51"/>
      <c r="G87" s="51"/>
      <c r="H87" s="51"/>
      <c r="I87" s="51"/>
      <c r="J87" s="19" t="s">
        <v>243</v>
      </c>
      <c r="K87" s="19" t="s">
        <v>242</v>
      </c>
      <c r="L87" s="19" t="s">
        <v>241</v>
      </c>
      <c r="M87" s="11"/>
      <c r="N87" s="11"/>
      <c r="O87" s="11"/>
    </row>
    <row r="88" spans="1:16" ht="14.1" customHeight="1" thickBot="1" x14ac:dyDescent="0.3">
      <c r="A88" s="8" t="s">
        <v>34</v>
      </c>
      <c r="B88" s="50">
        <v>2042</v>
      </c>
      <c r="C88" s="50"/>
      <c r="D88" s="50"/>
      <c r="E88" s="50"/>
      <c r="F88" s="50"/>
      <c r="G88" s="50"/>
      <c r="H88" s="50"/>
      <c r="I88" s="50"/>
      <c r="J88" s="52">
        <v>972</v>
      </c>
      <c r="K88" s="52">
        <v>0</v>
      </c>
      <c r="L88" s="50">
        <v>11</v>
      </c>
      <c r="P88" s="2"/>
    </row>
    <row r="89" spans="1:16" ht="24.6" thickTop="1" x14ac:dyDescent="0.25">
      <c r="A89" s="15" t="s">
        <v>47</v>
      </c>
      <c r="B89" s="19" t="s">
        <v>207</v>
      </c>
      <c r="C89" s="19" t="s">
        <v>208</v>
      </c>
      <c r="D89" s="19"/>
      <c r="E89" s="19"/>
      <c r="F89" s="51"/>
      <c r="G89" s="51"/>
      <c r="H89" s="51"/>
      <c r="I89" s="51"/>
      <c r="J89" s="19" t="s">
        <v>243</v>
      </c>
      <c r="K89" s="19" t="s">
        <v>242</v>
      </c>
      <c r="L89" s="19" t="s">
        <v>241</v>
      </c>
      <c r="P89" s="2"/>
    </row>
    <row r="90" spans="1:16" ht="14.1" customHeight="1" thickBot="1" x14ac:dyDescent="0.3">
      <c r="A90" s="8" t="s">
        <v>35</v>
      </c>
      <c r="B90" s="50">
        <v>1538</v>
      </c>
      <c r="C90" s="50">
        <v>948</v>
      </c>
      <c r="D90" s="50"/>
      <c r="E90" s="50"/>
      <c r="F90" s="50"/>
      <c r="G90" s="50"/>
      <c r="H90" s="50"/>
      <c r="I90" s="50"/>
      <c r="J90" s="52">
        <v>167</v>
      </c>
      <c r="K90" s="69">
        <v>2</v>
      </c>
      <c r="L90" s="50">
        <v>5</v>
      </c>
      <c r="P90" s="2"/>
    </row>
    <row r="91" spans="1:16" ht="24.6" customHeight="1" thickTop="1" x14ac:dyDescent="0.25">
      <c r="A91" s="15" t="s">
        <v>48</v>
      </c>
      <c r="B91" s="19" t="s">
        <v>209</v>
      </c>
      <c r="C91" s="19" t="s">
        <v>210</v>
      </c>
      <c r="D91" s="19"/>
      <c r="E91" s="19"/>
      <c r="F91" s="51"/>
      <c r="G91" s="51"/>
      <c r="H91" s="51"/>
      <c r="I91" s="51"/>
      <c r="J91" s="19" t="s">
        <v>243</v>
      </c>
      <c r="K91" s="19" t="s">
        <v>242</v>
      </c>
      <c r="L91" s="19" t="s">
        <v>241</v>
      </c>
      <c r="P91" s="2"/>
    </row>
    <row r="92" spans="1:16" ht="15" customHeight="1" thickBot="1" x14ac:dyDescent="0.3">
      <c r="A92" s="8" t="s">
        <v>33</v>
      </c>
      <c r="B92" s="50">
        <v>2254</v>
      </c>
      <c r="C92" s="50">
        <v>790</v>
      </c>
      <c r="D92" s="50"/>
      <c r="E92" s="50"/>
      <c r="F92" s="50"/>
      <c r="G92" s="50"/>
      <c r="H92" s="50"/>
      <c r="I92" s="50"/>
      <c r="J92" s="52">
        <v>162</v>
      </c>
      <c r="K92" s="52">
        <v>0</v>
      </c>
      <c r="L92" s="50">
        <v>7</v>
      </c>
      <c r="P92" s="2"/>
    </row>
    <row r="93" spans="1:16" ht="30.6" customHeight="1" thickTop="1" x14ac:dyDescent="0.25">
      <c r="A93" s="15" t="s">
        <v>78</v>
      </c>
      <c r="B93" s="19" t="s">
        <v>211</v>
      </c>
      <c r="C93" s="19" t="s">
        <v>212</v>
      </c>
      <c r="D93" s="19" t="s">
        <v>213</v>
      </c>
      <c r="E93" s="19" t="s">
        <v>214</v>
      </c>
      <c r="F93" s="51"/>
      <c r="G93" s="51"/>
      <c r="H93" s="19"/>
      <c r="I93" s="19"/>
      <c r="J93" s="19" t="s">
        <v>243</v>
      </c>
      <c r="K93" s="19" t="s">
        <v>242</v>
      </c>
      <c r="L93" s="19" t="s">
        <v>241</v>
      </c>
      <c r="P93" s="2"/>
    </row>
    <row r="94" spans="1:16" ht="15" customHeight="1" x14ac:dyDescent="0.25">
      <c r="A94" s="8" t="s">
        <v>30</v>
      </c>
      <c r="B94" s="54">
        <v>4520</v>
      </c>
      <c r="C94" s="54">
        <v>4802</v>
      </c>
      <c r="D94" s="54">
        <v>4969</v>
      </c>
      <c r="E94" s="54">
        <v>5067</v>
      </c>
      <c r="F94" s="50"/>
      <c r="G94" s="50"/>
      <c r="H94" s="50"/>
      <c r="I94" s="50"/>
      <c r="J94" s="50">
        <v>4801</v>
      </c>
      <c r="K94" s="50">
        <v>0</v>
      </c>
      <c r="L94" s="50">
        <v>7</v>
      </c>
      <c r="P94" s="2"/>
    </row>
    <row r="95" spans="1:16" s="14" customFormat="1" ht="24" x14ac:dyDescent="0.25">
      <c r="A95" s="30"/>
      <c r="B95" s="25" t="s">
        <v>218</v>
      </c>
      <c r="C95" s="43" t="s">
        <v>215</v>
      </c>
      <c r="D95" s="43" t="s">
        <v>216</v>
      </c>
      <c r="E95" s="43" t="s">
        <v>217</v>
      </c>
      <c r="F95" s="25"/>
      <c r="G95" s="25"/>
      <c r="H95" s="25"/>
      <c r="I95" s="25"/>
      <c r="J95" s="25"/>
      <c r="K95" s="25"/>
      <c r="L95" s="25"/>
      <c r="M95" s="31"/>
      <c r="N95" s="31"/>
      <c r="O95" s="31"/>
    </row>
    <row r="96" spans="1:16" ht="15" customHeight="1" thickBot="1" x14ac:dyDescent="0.3">
      <c r="A96" s="8" t="s">
        <v>30</v>
      </c>
      <c r="B96" s="54">
        <v>4355</v>
      </c>
      <c r="C96" s="54">
        <v>4823</v>
      </c>
      <c r="D96" s="54">
        <v>4351</v>
      </c>
      <c r="E96" s="54">
        <v>4239</v>
      </c>
      <c r="F96" s="50"/>
      <c r="G96" s="50"/>
      <c r="H96" s="50"/>
      <c r="I96" s="50"/>
      <c r="J96" s="50"/>
      <c r="K96" s="50"/>
      <c r="L96" s="50"/>
      <c r="P96" s="2"/>
    </row>
    <row r="97" spans="1:16" ht="24.6" thickTop="1" x14ac:dyDescent="0.25">
      <c r="A97" s="15" t="s">
        <v>79</v>
      </c>
      <c r="B97" s="19" t="s">
        <v>219</v>
      </c>
      <c r="C97" s="19" t="s">
        <v>220</v>
      </c>
      <c r="D97" s="19" t="s">
        <v>221</v>
      </c>
      <c r="E97" s="19" t="s">
        <v>222</v>
      </c>
      <c r="F97" s="19"/>
      <c r="G97" s="19"/>
      <c r="H97" s="51"/>
      <c r="I97" s="51"/>
      <c r="J97" s="19" t="s">
        <v>243</v>
      </c>
      <c r="K97" s="19" t="s">
        <v>242</v>
      </c>
      <c r="L97" s="19" t="s">
        <v>241</v>
      </c>
      <c r="P97" s="2"/>
    </row>
    <row r="98" spans="1:16" ht="15" customHeight="1" thickBot="1" x14ac:dyDescent="0.3">
      <c r="A98" s="8" t="s">
        <v>28</v>
      </c>
      <c r="B98" s="50">
        <v>1733</v>
      </c>
      <c r="C98" s="50">
        <v>1503</v>
      </c>
      <c r="D98" s="50">
        <v>2947</v>
      </c>
      <c r="E98" s="50">
        <v>2563</v>
      </c>
      <c r="F98" s="50"/>
      <c r="G98" s="50"/>
      <c r="H98" s="50"/>
      <c r="I98" s="50"/>
      <c r="J98" s="52">
        <v>1670</v>
      </c>
      <c r="K98" s="52">
        <v>0</v>
      </c>
      <c r="L98" s="50">
        <v>10</v>
      </c>
      <c r="P98" s="2"/>
    </row>
    <row r="99" spans="1:16" ht="24.6" thickTop="1" x14ac:dyDescent="0.25">
      <c r="A99" s="15" t="s">
        <v>80</v>
      </c>
      <c r="B99" s="19" t="s">
        <v>223</v>
      </c>
      <c r="C99" s="19" t="s">
        <v>224</v>
      </c>
      <c r="D99" s="19" t="s">
        <v>225</v>
      </c>
      <c r="E99" s="19" t="s">
        <v>226</v>
      </c>
      <c r="F99" s="19"/>
      <c r="G99" s="51"/>
      <c r="H99" s="51"/>
      <c r="I99" s="51"/>
      <c r="J99" s="19" t="s">
        <v>243</v>
      </c>
      <c r="K99" s="19" t="s">
        <v>242</v>
      </c>
      <c r="L99" s="19" t="s">
        <v>241</v>
      </c>
      <c r="P99" s="2"/>
    </row>
    <row r="100" spans="1:16" x14ac:dyDescent="0.25">
      <c r="A100" s="2" t="s">
        <v>5</v>
      </c>
      <c r="B100" s="33">
        <v>1261</v>
      </c>
      <c r="C100" s="33">
        <v>1329</v>
      </c>
      <c r="D100" s="33">
        <v>2444</v>
      </c>
      <c r="E100" s="33">
        <v>2108</v>
      </c>
      <c r="J100" s="33">
        <v>1031</v>
      </c>
      <c r="K100" s="33">
        <v>0</v>
      </c>
      <c r="L100" s="33">
        <v>5</v>
      </c>
      <c r="P100" s="2"/>
    </row>
    <row r="101" spans="1:16" x14ac:dyDescent="0.25">
      <c r="A101" s="2" t="s">
        <v>3</v>
      </c>
      <c r="B101" s="33">
        <v>907</v>
      </c>
      <c r="C101" s="33">
        <v>889</v>
      </c>
      <c r="D101" s="33">
        <v>1726</v>
      </c>
      <c r="E101" s="33">
        <v>1624</v>
      </c>
      <c r="J101" s="33">
        <v>766</v>
      </c>
      <c r="K101" s="33">
        <v>0</v>
      </c>
      <c r="L101" s="33">
        <v>1</v>
      </c>
      <c r="P101" s="2"/>
    </row>
    <row r="102" spans="1:16" x14ac:dyDescent="0.25">
      <c r="A102" s="2" t="s">
        <v>11</v>
      </c>
      <c r="B102" s="33">
        <v>1100</v>
      </c>
      <c r="C102" s="33">
        <v>1192</v>
      </c>
      <c r="D102" s="33">
        <v>2147</v>
      </c>
      <c r="E102" s="33">
        <v>1894</v>
      </c>
      <c r="J102" s="33">
        <v>770</v>
      </c>
      <c r="K102" s="33">
        <v>0</v>
      </c>
      <c r="L102" s="33">
        <v>4</v>
      </c>
      <c r="P102" s="2"/>
    </row>
    <row r="103" spans="1:16" x14ac:dyDescent="0.25">
      <c r="A103" s="2" t="s">
        <v>2</v>
      </c>
      <c r="B103" s="33">
        <v>1157</v>
      </c>
      <c r="C103" s="33">
        <v>1231</v>
      </c>
      <c r="D103" s="33">
        <v>1849</v>
      </c>
      <c r="E103" s="33">
        <v>1771</v>
      </c>
      <c r="J103" s="33">
        <v>787</v>
      </c>
      <c r="K103" s="33">
        <v>0</v>
      </c>
      <c r="L103" s="33">
        <v>1</v>
      </c>
      <c r="P103" s="2"/>
    </row>
    <row r="104" spans="1:16" ht="13.8" thickBot="1" x14ac:dyDescent="0.3">
      <c r="A104" s="7" t="s">
        <v>58</v>
      </c>
      <c r="B104" s="50">
        <f>SUM(B100:B103)</f>
        <v>4425</v>
      </c>
      <c r="C104" s="50">
        <f>SUM(C100:C103)</f>
        <v>4641</v>
      </c>
      <c r="D104" s="50">
        <f>SUM(D100:D103)</f>
        <v>8166</v>
      </c>
      <c r="E104" s="50">
        <f>SUM(E100:E103)</f>
        <v>7397</v>
      </c>
      <c r="F104" s="50"/>
      <c r="G104" s="50"/>
      <c r="H104" s="50"/>
      <c r="I104" s="50"/>
      <c r="J104" s="50">
        <f t="shared" ref="J104:K104" si="12">SUM(J100:J103)</f>
        <v>3354</v>
      </c>
      <c r="K104" s="50">
        <f t="shared" si="12"/>
        <v>0</v>
      </c>
      <c r="L104" s="50">
        <f>SUM(L100:L103)</f>
        <v>11</v>
      </c>
      <c r="P104" s="2"/>
    </row>
    <row r="105" spans="1:16" ht="24.6" thickTop="1" x14ac:dyDescent="0.25">
      <c r="A105" s="15" t="s">
        <v>49</v>
      </c>
      <c r="B105" s="19" t="s">
        <v>227</v>
      </c>
      <c r="C105" s="19" t="s">
        <v>228</v>
      </c>
      <c r="D105" s="19"/>
      <c r="E105" s="19"/>
      <c r="F105" s="51"/>
      <c r="G105" s="51"/>
      <c r="H105" s="51"/>
      <c r="I105" s="51"/>
      <c r="J105" s="19" t="s">
        <v>243</v>
      </c>
      <c r="K105" s="19" t="s">
        <v>242</v>
      </c>
      <c r="L105" s="19" t="s">
        <v>241</v>
      </c>
      <c r="P105" s="2"/>
    </row>
    <row r="106" spans="1:16" x14ac:dyDescent="0.25">
      <c r="A106" s="2" t="s">
        <v>18</v>
      </c>
      <c r="B106" s="33">
        <v>1416</v>
      </c>
      <c r="C106" s="33">
        <v>1595</v>
      </c>
      <c r="J106" s="33">
        <v>114</v>
      </c>
      <c r="K106" s="33">
        <v>3</v>
      </c>
      <c r="L106" s="33">
        <v>3</v>
      </c>
      <c r="P106" s="2"/>
    </row>
    <row r="107" spans="1:16" x14ac:dyDescent="0.25">
      <c r="A107" s="2" t="s">
        <v>12</v>
      </c>
      <c r="B107" s="33">
        <v>896</v>
      </c>
      <c r="C107" s="33">
        <v>1778</v>
      </c>
      <c r="J107" s="33">
        <v>199</v>
      </c>
      <c r="K107" s="33">
        <v>0</v>
      </c>
      <c r="L107" s="33">
        <v>10</v>
      </c>
      <c r="P107" s="2"/>
    </row>
    <row r="108" spans="1:16" x14ac:dyDescent="0.25">
      <c r="A108" s="2" t="s">
        <v>16</v>
      </c>
      <c r="B108" s="33">
        <v>1057</v>
      </c>
      <c r="C108" s="33">
        <v>1895</v>
      </c>
      <c r="J108" s="33">
        <v>178</v>
      </c>
      <c r="K108" s="33">
        <v>0</v>
      </c>
      <c r="L108" s="33">
        <v>11</v>
      </c>
      <c r="P108" s="2"/>
    </row>
    <row r="109" spans="1:16" ht="13.8" thickBot="1" x14ac:dyDescent="0.3">
      <c r="A109" s="7" t="s">
        <v>58</v>
      </c>
      <c r="B109" s="50">
        <f>SUM(B106:B108)</f>
        <v>3369</v>
      </c>
      <c r="C109" s="50">
        <f>SUM(C106:C108)</f>
        <v>5268</v>
      </c>
      <c r="D109" s="50"/>
      <c r="E109" s="50"/>
      <c r="F109" s="50"/>
      <c r="G109" s="50"/>
      <c r="H109" s="50"/>
      <c r="I109" s="50"/>
      <c r="J109" s="50">
        <f t="shared" ref="J109:K109" si="13">SUM(J106:J108)</f>
        <v>491</v>
      </c>
      <c r="K109" s="50">
        <f t="shared" si="13"/>
        <v>3</v>
      </c>
      <c r="L109" s="50">
        <f>SUM(L106:L108)</f>
        <v>24</v>
      </c>
      <c r="P109" s="2"/>
    </row>
    <row r="110" spans="1:16" ht="28.8" customHeight="1" thickTop="1" x14ac:dyDescent="0.25">
      <c r="A110" s="15" t="s">
        <v>50</v>
      </c>
      <c r="B110" s="19" t="s">
        <v>229</v>
      </c>
      <c r="C110" s="19"/>
      <c r="D110" s="19"/>
      <c r="E110" s="19"/>
      <c r="F110" s="51"/>
      <c r="G110" s="51"/>
      <c r="H110" s="51"/>
      <c r="I110" s="51"/>
      <c r="J110" s="19" t="s">
        <v>243</v>
      </c>
      <c r="K110" s="19" t="s">
        <v>242</v>
      </c>
      <c r="L110" s="19" t="s">
        <v>241</v>
      </c>
      <c r="P110" s="2"/>
    </row>
    <row r="111" spans="1:16" x14ac:dyDescent="0.25">
      <c r="A111" s="2" t="s">
        <v>23</v>
      </c>
      <c r="B111" s="53">
        <v>7051</v>
      </c>
      <c r="J111" s="33">
        <v>3291</v>
      </c>
      <c r="K111" s="33">
        <v>0</v>
      </c>
      <c r="L111" s="33">
        <v>65</v>
      </c>
      <c r="P111" s="2"/>
    </row>
    <row r="112" spans="1:16" x14ac:dyDescent="0.25">
      <c r="A112" s="2" t="s">
        <v>21</v>
      </c>
      <c r="B112" s="53">
        <v>742</v>
      </c>
      <c r="J112" s="33">
        <v>524</v>
      </c>
      <c r="K112" s="33">
        <v>0</v>
      </c>
      <c r="L112" s="33">
        <v>11</v>
      </c>
      <c r="P112" s="2"/>
    </row>
    <row r="113" spans="1:16" x14ac:dyDescent="0.25">
      <c r="A113" s="2" t="s">
        <v>22</v>
      </c>
      <c r="B113" s="70">
        <v>4153</v>
      </c>
      <c r="J113" s="33">
        <v>1791</v>
      </c>
      <c r="K113" s="33">
        <v>0</v>
      </c>
      <c r="L113" s="33">
        <v>53</v>
      </c>
      <c r="P113" s="2"/>
    </row>
    <row r="114" spans="1:16" x14ac:dyDescent="0.25">
      <c r="A114" s="2" t="s">
        <v>25</v>
      </c>
      <c r="B114" s="70">
        <v>3509</v>
      </c>
      <c r="J114" s="33">
        <v>1977</v>
      </c>
      <c r="K114" s="33">
        <v>0</v>
      </c>
      <c r="L114" s="33">
        <v>47</v>
      </c>
      <c r="P114" s="2"/>
    </row>
    <row r="115" spans="1:16" ht="13.8" thickBot="1" x14ac:dyDescent="0.3">
      <c r="A115" s="7" t="s">
        <v>58</v>
      </c>
      <c r="B115" s="50">
        <f>SUM(B111:B114)</f>
        <v>15455</v>
      </c>
      <c r="C115" s="50"/>
      <c r="D115" s="50"/>
      <c r="E115" s="50"/>
      <c r="F115" s="50"/>
      <c r="G115" s="50"/>
      <c r="H115" s="50"/>
      <c r="I115" s="50"/>
      <c r="J115" s="50">
        <f t="shared" ref="J115:K115" si="14">SUM(J111:J114)</f>
        <v>7583</v>
      </c>
      <c r="K115" s="50">
        <f t="shared" si="14"/>
        <v>0</v>
      </c>
      <c r="L115" s="50">
        <f>SUM(L111:L114)</f>
        <v>176</v>
      </c>
      <c r="P115" s="2"/>
    </row>
    <row r="116" spans="1:16" ht="24.6" thickTop="1" x14ac:dyDescent="0.25">
      <c r="A116" s="15" t="s">
        <v>51</v>
      </c>
      <c r="B116" s="19" t="s">
        <v>230</v>
      </c>
      <c r="C116" s="19" t="s">
        <v>231</v>
      </c>
      <c r="D116" s="19"/>
      <c r="E116" s="19"/>
      <c r="F116" s="19"/>
      <c r="G116" s="19"/>
      <c r="H116" s="51"/>
      <c r="I116" s="51"/>
      <c r="J116" s="19" t="s">
        <v>243</v>
      </c>
      <c r="K116" s="19" t="s">
        <v>242</v>
      </c>
      <c r="L116" s="19" t="s">
        <v>241</v>
      </c>
      <c r="P116" s="2"/>
    </row>
    <row r="117" spans="1:16" x14ac:dyDescent="0.25">
      <c r="A117" s="2" t="s">
        <v>19</v>
      </c>
      <c r="B117" s="33">
        <v>633</v>
      </c>
      <c r="C117" s="33">
        <v>960</v>
      </c>
      <c r="J117" s="33">
        <v>126</v>
      </c>
      <c r="K117" s="33">
        <v>0</v>
      </c>
      <c r="L117" s="33">
        <v>1</v>
      </c>
      <c r="P117" s="2"/>
    </row>
    <row r="118" spans="1:16" x14ac:dyDescent="0.25">
      <c r="A118" s="2" t="s">
        <v>41</v>
      </c>
      <c r="B118" s="33">
        <v>2023</v>
      </c>
      <c r="C118" s="33">
        <v>3645</v>
      </c>
      <c r="J118" s="33">
        <v>393</v>
      </c>
      <c r="K118" s="33">
        <v>6</v>
      </c>
      <c r="L118" s="33">
        <v>2</v>
      </c>
      <c r="P118" s="2"/>
    </row>
    <row r="119" spans="1:16" x14ac:dyDescent="0.25">
      <c r="A119" s="2" t="s">
        <v>13</v>
      </c>
      <c r="B119" s="33">
        <v>1418</v>
      </c>
      <c r="C119" s="33">
        <v>2466</v>
      </c>
      <c r="J119" s="33">
        <v>288</v>
      </c>
      <c r="K119" s="33">
        <v>0</v>
      </c>
      <c r="L119" s="33">
        <v>1</v>
      </c>
      <c r="P119" s="2"/>
    </row>
    <row r="120" spans="1:16" ht="13.8" thickBot="1" x14ac:dyDescent="0.3">
      <c r="A120" s="7" t="s">
        <v>58</v>
      </c>
      <c r="B120" s="50">
        <f>SUM(B117:B119)</f>
        <v>4074</v>
      </c>
      <c r="C120" s="50">
        <f>SUM(C117:C119)</f>
        <v>7071</v>
      </c>
      <c r="D120" s="50"/>
      <c r="E120" s="50"/>
      <c r="F120" s="50"/>
      <c r="G120" s="50"/>
      <c r="H120" s="50"/>
      <c r="I120" s="50"/>
      <c r="J120" s="50">
        <f t="shared" ref="J120:K120" si="15">SUM(J117:J119)</f>
        <v>807</v>
      </c>
      <c r="K120" s="50">
        <f t="shared" si="15"/>
        <v>6</v>
      </c>
      <c r="L120" s="50">
        <f>SUM(L117:L119)</f>
        <v>4</v>
      </c>
      <c r="P120" s="2"/>
    </row>
    <row r="121" spans="1:16" ht="13.8" thickTop="1" x14ac:dyDescent="0.25">
      <c r="A121" s="15" t="s">
        <v>52</v>
      </c>
      <c r="B121" s="19" t="s">
        <v>232</v>
      </c>
      <c r="C121" s="19" t="s">
        <v>233</v>
      </c>
      <c r="D121" s="19"/>
      <c r="E121" s="19"/>
      <c r="F121" s="51"/>
      <c r="G121" s="51"/>
      <c r="H121" s="51"/>
      <c r="I121" s="51"/>
      <c r="J121" s="19" t="s">
        <v>243</v>
      </c>
      <c r="K121" s="19" t="s">
        <v>242</v>
      </c>
      <c r="L121" s="19" t="s">
        <v>241</v>
      </c>
      <c r="P121" s="2"/>
    </row>
    <row r="122" spans="1:16" ht="15" customHeight="1" x14ac:dyDescent="0.25">
      <c r="A122" s="2" t="s">
        <v>6</v>
      </c>
      <c r="B122" s="53">
        <v>6915</v>
      </c>
      <c r="C122" s="33">
        <v>8097</v>
      </c>
      <c r="J122" s="33">
        <v>1602</v>
      </c>
      <c r="K122" s="33">
        <v>2</v>
      </c>
      <c r="L122" s="33">
        <v>25</v>
      </c>
      <c r="P122" s="2"/>
    </row>
    <row r="123" spans="1:16" ht="15" customHeight="1" x14ac:dyDescent="0.25">
      <c r="A123" s="2" t="s">
        <v>8</v>
      </c>
      <c r="B123" s="70">
        <v>4090</v>
      </c>
      <c r="C123" s="33">
        <v>5382</v>
      </c>
      <c r="J123" s="33">
        <v>662</v>
      </c>
      <c r="K123" s="33">
        <v>1</v>
      </c>
      <c r="L123" s="33">
        <v>5</v>
      </c>
      <c r="P123" s="2"/>
    </row>
    <row r="124" spans="1:16" ht="15" customHeight="1" thickBot="1" x14ac:dyDescent="0.3">
      <c r="A124" s="7" t="s">
        <v>58</v>
      </c>
      <c r="B124" s="50">
        <f>SUM(B122:B123)</f>
        <v>11005</v>
      </c>
      <c r="C124" s="50">
        <f>SUM(C122:C123)</f>
        <v>13479</v>
      </c>
      <c r="D124" s="50"/>
      <c r="E124" s="50"/>
      <c r="F124" s="50"/>
      <c r="G124" s="50"/>
      <c r="H124" s="50"/>
      <c r="I124" s="50"/>
      <c r="J124" s="50">
        <f t="shared" ref="J124:K124" si="16">SUM(J122:J123)</f>
        <v>2264</v>
      </c>
      <c r="K124" s="50">
        <f t="shared" si="16"/>
        <v>3</v>
      </c>
      <c r="L124" s="50">
        <f>SUM(L122:L123)</f>
        <v>30</v>
      </c>
      <c r="P124" s="2"/>
    </row>
    <row r="125" spans="1:16" ht="13.8" thickTop="1" x14ac:dyDescent="0.25">
      <c r="A125" s="15" t="s">
        <v>53</v>
      </c>
      <c r="B125" s="19" t="s">
        <v>234</v>
      </c>
      <c r="C125" s="19" t="s">
        <v>235</v>
      </c>
      <c r="D125" s="19"/>
      <c r="E125" s="19"/>
      <c r="F125" s="51"/>
      <c r="G125" s="51"/>
      <c r="H125" s="51"/>
      <c r="I125" s="51"/>
      <c r="J125" s="19" t="s">
        <v>243</v>
      </c>
      <c r="K125" s="19" t="s">
        <v>242</v>
      </c>
      <c r="L125" s="19" t="s">
        <v>241</v>
      </c>
      <c r="P125" s="2"/>
    </row>
    <row r="126" spans="1:16" ht="15" customHeight="1" x14ac:dyDescent="0.25">
      <c r="A126" s="2" t="s">
        <v>26</v>
      </c>
      <c r="B126" s="33">
        <v>711</v>
      </c>
      <c r="C126" s="33">
        <v>960</v>
      </c>
      <c r="J126" s="33">
        <v>79</v>
      </c>
      <c r="K126" s="33">
        <v>1</v>
      </c>
      <c r="L126" s="33">
        <v>0</v>
      </c>
      <c r="P126" s="2"/>
    </row>
    <row r="127" spans="1:16" ht="15" customHeight="1" x14ac:dyDescent="0.25">
      <c r="A127" s="2" t="s">
        <v>27</v>
      </c>
      <c r="B127" s="33">
        <v>738</v>
      </c>
      <c r="C127" s="33">
        <v>793</v>
      </c>
      <c r="J127" s="33">
        <v>64</v>
      </c>
      <c r="K127" s="33">
        <v>0</v>
      </c>
      <c r="L127" s="33">
        <v>0</v>
      </c>
      <c r="P127" s="2"/>
    </row>
    <row r="128" spans="1:16" ht="15" customHeight="1" x14ac:dyDescent="0.25">
      <c r="A128" s="2" t="s">
        <v>20</v>
      </c>
      <c r="B128" s="33">
        <v>1125</v>
      </c>
      <c r="C128" s="33">
        <v>1720</v>
      </c>
      <c r="J128" s="33">
        <v>215</v>
      </c>
      <c r="K128" s="33">
        <v>0</v>
      </c>
      <c r="L128" s="33">
        <v>1</v>
      </c>
      <c r="P128" s="2"/>
    </row>
    <row r="129" spans="1:16" ht="15" customHeight="1" x14ac:dyDescent="0.25">
      <c r="A129" s="2" t="s">
        <v>14</v>
      </c>
      <c r="B129" s="33">
        <v>1714</v>
      </c>
      <c r="C129" s="33">
        <v>2687</v>
      </c>
      <c r="J129" s="33">
        <v>335</v>
      </c>
      <c r="K129" s="33">
        <v>0</v>
      </c>
      <c r="L129" s="33">
        <v>4</v>
      </c>
      <c r="P129" s="2"/>
    </row>
    <row r="130" spans="1:16" ht="15" customHeight="1" x14ac:dyDescent="0.25">
      <c r="A130" s="2" t="s">
        <v>29</v>
      </c>
      <c r="B130" s="33">
        <v>231</v>
      </c>
      <c r="C130" s="33">
        <v>364</v>
      </c>
      <c r="J130" s="33">
        <v>42</v>
      </c>
      <c r="K130" s="33">
        <v>0</v>
      </c>
      <c r="L130" s="33">
        <v>0</v>
      </c>
      <c r="P130" s="2"/>
    </row>
    <row r="131" spans="1:16" ht="15" customHeight="1" thickBot="1" x14ac:dyDescent="0.3">
      <c r="A131" s="7" t="s">
        <v>58</v>
      </c>
      <c r="B131" s="50">
        <f>SUM(B126:B130)</f>
        <v>4519</v>
      </c>
      <c r="C131" s="50">
        <f>SUM(C126:C130)</f>
        <v>6524</v>
      </c>
      <c r="D131" s="50"/>
      <c r="E131" s="50"/>
      <c r="F131" s="50"/>
      <c r="G131" s="50"/>
      <c r="H131" s="50"/>
      <c r="I131" s="50"/>
      <c r="J131" s="50">
        <f t="shared" ref="J131:K131" si="17">SUM(J126:J130)</f>
        <v>735</v>
      </c>
      <c r="K131" s="50">
        <f t="shared" si="17"/>
        <v>1</v>
      </c>
      <c r="L131" s="50">
        <f>SUM(L126:L130)</f>
        <v>5</v>
      </c>
      <c r="P131" s="2"/>
    </row>
    <row r="132" spans="1:16" ht="24.6" thickTop="1" x14ac:dyDescent="0.25">
      <c r="A132" s="15" t="s">
        <v>54</v>
      </c>
      <c r="B132" s="19" t="s">
        <v>236</v>
      </c>
      <c r="C132" s="19"/>
      <c r="D132" s="19"/>
      <c r="E132" s="51"/>
      <c r="F132" s="19"/>
      <c r="G132" s="51"/>
      <c r="H132" s="51"/>
      <c r="I132" s="51"/>
      <c r="J132" s="19" t="s">
        <v>243</v>
      </c>
      <c r="K132" s="19" t="s">
        <v>242</v>
      </c>
      <c r="L132" s="19" t="s">
        <v>241</v>
      </c>
      <c r="P132" s="2"/>
    </row>
    <row r="133" spans="1:16" s="12" customFormat="1" ht="15" customHeight="1" x14ac:dyDescent="0.25">
      <c r="A133" s="12" t="s">
        <v>38</v>
      </c>
      <c r="B133" s="67">
        <v>520</v>
      </c>
      <c r="C133" s="71"/>
      <c r="D133" s="67"/>
      <c r="E133" s="67"/>
      <c r="F133" s="67"/>
      <c r="G133" s="67"/>
      <c r="H133" s="67"/>
      <c r="I133" s="67"/>
      <c r="J133" s="67">
        <v>336</v>
      </c>
      <c r="K133" s="67">
        <v>0</v>
      </c>
      <c r="L133" s="67">
        <v>4</v>
      </c>
      <c r="M133" s="13"/>
      <c r="N133" s="13"/>
      <c r="O133" s="13"/>
    </row>
    <row r="134" spans="1:16" ht="15" customHeight="1" x14ac:dyDescent="0.25">
      <c r="A134" s="2" t="s">
        <v>31</v>
      </c>
      <c r="B134" s="33">
        <v>320</v>
      </c>
      <c r="C134" s="53"/>
      <c r="J134" s="33">
        <v>300</v>
      </c>
      <c r="K134" s="33">
        <v>0</v>
      </c>
      <c r="L134" s="33">
        <v>5</v>
      </c>
      <c r="P134" s="2"/>
    </row>
    <row r="135" spans="1:16" ht="15" customHeight="1" x14ac:dyDescent="0.25">
      <c r="A135" s="2" t="s">
        <v>32</v>
      </c>
      <c r="B135" s="33">
        <v>2061</v>
      </c>
      <c r="C135" s="53"/>
      <c r="J135" s="33">
        <v>810</v>
      </c>
      <c r="K135" s="33">
        <v>0</v>
      </c>
      <c r="L135" s="33">
        <v>19</v>
      </c>
      <c r="P135" s="2"/>
    </row>
    <row r="136" spans="1:16" ht="15" customHeight="1" x14ac:dyDescent="0.25">
      <c r="A136" s="8" t="s">
        <v>36</v>
      </c>
      <c r="B136" s="50">
        <v>2090</v>
      </c>
      <c r="C136" s="54"/>
      <c r="D136" s="50"/>
      <c r="E136" s="50"/>
      <c r="F136" s="50"/>
      <c r="G136" s="50"/>
      <c r="H136" s="50"/>
      <c r="I136" s="50"/>
      <c r="J136" s="50">
        <v>729</v>
      </c>
      <c r="K136" s="50">
        <v>0</v>
      </c>
      <c r="L136" s="50">
        <v>16</v>
      </c>
      <c r="P136" s="2"/>
    </row>
    <row r="137" spans="1:16" ht="15" customHeight="1" thickBot="1" x14ac:dyDescent="0.3">
      <c r="A137" s="7" t="s">
        <v>58</v>
      </c>
      <c r="B137" s="50">
        <f>SUM(B133:B136)</f>
        <v>4991</v>
      </c>
      <c r="C137" s="50"/>
      <c r="D137" s="50"/>
      <c r="E137" s="50"/>
      <c r="F137" s="50"/>
      <c r="G137" s="50"/>
      <c r="H137" s="50"/>
      <c r="I137" s="50"/>
      <c r="J137" s="50">
        <f t="shared" ref="J137:K137" si="18">SUM(J133:J136)</f>
        <v>2175</v>
      </c>
      <c r="K137" s="50">
        <f t="shared" si="18"/>
        <v>0</v>
      </c>
      <c r="L137" s="50">
        <f>SUM(L133:L136)</f>
        <v>44</v>
      </c>
      <c r="P137" s="2"/>
    </row>
    <row r="138" spans="1:16" ht="24.6" thickTop="1" x14ac:dyDescent="0.25">
      <c r="A138" s="15" t="s">
        <v>81</v>
      </c>
      <c r="B138" s="19" t="s">
        <v>237</v>
      </c>
      <c r="C138" s="19" t="s">
        <v>252</v>
      </c>
      <c r="D138" s="19"/>
      <c r="E138" s="51"/>
      <c r="F138" s="51"/>
      <c r="G138" s="51"/>
      <c r="H138" s="51"/>
      <c r="I138" s="51"/>
      <c r="J138" s="19" t="s">
        <v>243</v>
      </c>
      <c r="K138" s="19" t="s">
        <v>242</v>
      </c>
      <c r="L138" s="19" t="s">
        <v>241</v>
      </c>
      <c r="P138" s="2"/>
    </row>
    <row r="139" spans="1:16" x14ac:dyDescent="0.25">
      <c r="A139" s="2" t="s">
        <v>37</v>
      </c>
      <c r="B139" s="53">
        <v>1368</v>
      </c>
      <c r="C139" s="33">
        <v>1459</v>
      </c>
      <c r="J139" s="33">
        <v>144</v>
      </c>
      <c r="K139" s="33">
        <v>0</v>
      </c>
      <c r="L139" s="33">
        <v>0</v>
      </c>
      <c r="P139" s="2"/>
    </row>
    <row r="140" spans="1:16" x14ac:dyDescent="0.25">
      <c r="A140" s="2" t="s">
        <v>24</v>
      </c>
      <c r="B140" s="53">
        <v>1677</v>
      </c>
      <c r="C140" s="33">
        <v>1622</v>
      </c>
      <c r="J140" s="33">
        <v>153</v>
      </c>
      <c r="K140" s="33">
        <v>0</v>
      </c>
      <c r="L140" s="33">
        <v>1</v>
      </c>
      <c r="P140" s="2"/>
    </row>
    <row r="141" spans="1:16" x14ac:dyDescent="0.25">
      <c r="A141" s="2" t="s">
        <v>39</v>
      </c>
      <c r="B141" s="53">
        <v>2296</v>
      </c>
      <c r="C141" s="33">
        <v>1926</v>
      </c>
      <c r="J141" s="33">
        <v>194</v>
      </c>
      <c r="K141" s="33">
        <v>1</v>
      </c>
      <c r="L141" s="33">
        <v>1</v>
      </c>
      <c r="P141" s="2"/>
    </row>
    <row r="142" spans="1:16" ht="13.8" thickBot="1" x14ac:dyDescent="0.3">
      <c r="A142" s="7" t="s">
        <v>58</v>
      </c>
      <c r="B142" s="50">
        <f>SUM(B139:B141)</f>
        <v>5341</v>
      </c>
      <c r="C142" s="50">
        <f>SUM(C139:C141)</f>
        <v>5007</v>
      </c>
      <c r="D142" s="50"/>
      <c r="E142" s="50"/>
      <c r="F142" s="50"/>
      <c r="G142" s="50"/>
      <c r="H142" s="50"/>
      <c r="I142" s="50"/>
      <c r="J142" s="50">
        <f t="shared" ref="J142:K142" si="19">SUM(J139:J141)</f>
        <v>491</v>
      </c>
      <c r="K142" s="50">
        <f t="shared" si="19"/>
        <v>1</v>
      </c>
      <c r="L142" s="50">
        <f>SUM(L139:L141)</f>
        <v>2</v>
      </c>
      <c r="P142" s="2"/>
    </row>
    <row r="143" spans="1:16" ht="13.8" thickTop="1" x14ac:dyDescent="0.25">
      <c r="A143" s="15" t="s">
        <v>82</v>
      </c>
      <c r="B143" s="19" t="s">
        <v>238</v>
      </c>
      <c r="C143" s="19"/>
      <c r="D143" s="19"/>
      <c r="E143" s="51"/>
      <c r="F143" s="51"/>
      <c r="G143" s="51"/>
      <c r="H143" s="51"/>
      <c r="I143" s="51"/>
      <c r="J143" s="19" t="s">
        <v>243</v>
      </c>
      <c r="K143" s="19" t="s">
        <v>242</v>
      </c>
      <c r="L143" s="19" t="s">
        <v>241</v>
      </c>
      <c r="P143" s="2"/>
    </row>
    <row r="144" spans="1:16" x14ac:dyDescent="0.25">
      <c r="A144" s="2" t="s">
        <v>33</v>
      </c>
      <c r="B144" s="33">
        <v>2402</v>
      </c>
      <c r="J144" s="33">
        <v>780</v>
      </c>
      <c r="K144" s="33">
        <v>0</v>
      </c>
      <c r="L144" s="33">
        <v>31</v>
      </c>
      <c r="P144" s="2"/>
    </row>
    <row r="145" spans="1:16" x14ac:dyDescent="0.25">
      <c r="A145" s="2" t="s">
        <v>34</v>
      </c>
      <c r="B145" s="33">
        <v>2030</v>
      </c>
      <c r="J145" s="33">
        <v>978</v>
      </c>
      <c r="K145" s="33">
        <v>0</v>
      </c>
      <c r="L145" s="33">
        <v>8</v>
      </c>
      <c r="P145" s="2"/>
    </row>
    <row r="146" spans="1:16" x14ac:dyDescent="0.25">
      <c r="A146" s="2" t="s">
        <v>35</v>
      </c>
      <c r="B146" s="50">
        <v>1696</v>
      </c>
      <c r="J146" s="33">
        <v>943</v>
      </c>
      <c r="K146" s="33">
        <v>2</v>
      </c>
      <c r="L146" s="33">
        <v>19</v>
      </c>
      <c r="P146" s="2"/>
    </row>
    <row r="147" spans="1:16" ht="13.8" thickBot="1" x14ac:dyDescent="0.3">
      <c r="A147" s="7" t="s">
        <v>58</v>
      </c>
      <c r="B147" s="50">
        <f>SUM(B144:B146)</f>
        <v>6128</v>
      </c>
      <c r="C147" s="50"/>
      <c r="D147" s="50"/>
      <c r="E147" s="50"/>
      <c r="F147" s="50"/>
      <c r="G147" s="50"/>
      <c r="H147" s="50"/>
      <c r="I147" s="50"/>
      <c r="J147" s="50">
        <f t="shared" ref="J147:K147" si="20">SUM(J144:J146)</f>
        <v>2701</v>
      </c>
      <c r="K147" s="50">
        <f t="shared" si="20"/>
        <v>2</v>
      </c>
      <c r="L147" s="50">
        <f>SUM(L144:L146)</f>
        <v>58</v>
      </c>
      <c r="P147" s="2"/>
    </row>
    <row r="148" spans="1:16" ht="24.6" thickTop="1" x14ac:dyDescent="0.25">
      <c r="A148" s="15" t="s">
        <v>83</v>
      </c>
      <c r="B148" s="19" t="s">
        <v>239</v>
      </c>
      <c r="C148" s="19" t="s">
        <v>240</v>
      </c>
      <c r="D148" s="19"/>
      <c r="E148" s="19"/>
      <c r="F148" s="19"/>
      <c r="G148" s="51"/>
      <c r="H148" s="51"/>
      <c r="I148" s="51"/>
      <c r="J148" s="19" t="s">
        <v>243</v>
      </c>
      <c r="K148" s="19" t="s">
        <v>242</v>
      </c>
      <c r="L148" s="19" t="s">
        <v>241</v>
      </c>
      <c r="P148" s="2"/>
    </row>
    <row r="149" spans="1:16" x14ac:dyDescent="0.25">
      <c r="A149" s="2" t="s">
        <v>30</v>
      </c>
      <c r="B149" s="33">
        <v>4863</v>
      </c>
      <c r="C149" s="33">
        <v>5041</v>
      </c>
      <c r="J149" s="33">
        <v>579</v>
      </c>
      <c r="K149" s="33">
        <v>1</v>
      </c>
      <c r="L149" s="33">
        <v>3</v>
      </c>
      <c r="P149" s="2"/>
    </row>
    <row r="150" spans="1:16" x14ac:dyDescent="0.25">
      <c r="A150" s="2" t="s">
        <v>28</v>
      </c>
      <c r="B150" s="33">
        <v>1849</v>
      </c>
      <c r="C150" s="33">
        <v>2977</v>
      </c>
      <c r="J150" s="33">
        <v>383</v>
      </c>
      <c r="K150" s="33">
        <v>0</v>
      </c>
      <c r="L150" s="33">
        <v>5</v>
      </c>
      <c r="P150" s="2"/>
    </row>
    <row r="151" spans="1:16" ht="13.8" thickBot="1" x14ac:dyDescent="0.3">
      <c r="A151" s="36" t="s">
        <v>58</v>
      </c>
      <c r="B151" s="52">
        <f>SUM(B149:B150)</f>
        <v>6712</v>
      </c>
      <c r="C151" s="52">
        <f>SUM(C149:C150)</f>
        <v>8018</v>
      </c>
      <c r="D151" s="52"/>
      <c r="E151" s="52"/>
      <c r="F151" s="52"/>
      <c r="G151" s="52"/>
      <c r="H151" s="52"/>
      <c r="I151" s="52"/>
      <c r="J151" s="52">
        <f t="shared" ref="J151:K151" si="21">SUM(J149:J150)</f>
        <v>962</v>
      </c>
      <c r="K151" s="52">
        <f t="shared" si="21"/>
        <v>1</v>
      </c>
      <c r="L151" s="52">
        <f>SUM(L149:L150)</f>
        <v>8</v>
      </c>
      <c r="P151" s="2"/>
    </row>
    <row r="152" spans="1:16" ht="13.8" thickTop="1" x14ac:dyDescent="0.25">
      <c r="A152" s="35"/>
      <c r="B152" s="72" t="s">
        <v>56</v>
      </c>
      <c r="C152" s="72" t="s">
        <v>56</v>
      </c>
      <c r="D152" s="72"/>
      <c r="E152" s="72"/>
      <c r="F152" s="72"/>
      <c r="G152" s="72"/>
      <c r="H152" s="72"/>
      <c r="I152" s="72"/>
      <c r="J152" s="34"/>
      <c r="L152" s="44"/>
      <c r="P152" s="2"/>
    </row>
  </sheetData>
  <mergeCells count="2">
    <mergeCell ref="A1:L1"/>
    <mergeCell ref="A2:L2"/>
  </mergeCells>
  <phoneticPr fontId="3" type="noConversion"/>
  <printOptions gridLines="1"/>
  <pageMargins left="0.5" right="0.25" top="0.5" bottom="0.25" header="0.5" footer="0.5"/>
  <pageSetup scale="88" fitToHeight="0" orientation="landscape" r:id="rId1"/>
  <headerFooter alignWithMargins="0"/>
  <rowBreaks count="4" manualBreakCount="4">
    <brk id="31" max="16383" man="1"/>
    <brk id="57" max="16383" man="1"/>
    <brk id="90" max="16383" man="1"/>
    <brk id="1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rrockrep</vt:lpstr>
      <vt:lpstr>rrockrep!Print_Area</vt:lpstr>
      <vt:lpstr>rrockrep!Print_Titles</vt:lpstr>
    </vt:vector>
  </TitlesOfParts>
  <Company>State of 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Ladd</dc:creator>
  <cp:lastModifiedBy>Kaley Dion</cp:lastModifiedBy>
  <cp:lastPrinted>2024-11-15T14:25:13Z</cp:lastPrinted>
  <dcterms:created xsi:type="dcterms:W3CDTF">2002-09-04T18:18:08Z</dcterms:created>
  <dcterms:modified xsi:type="dcterms:W3CDTF">2024-11-25T14:33:38Z</dcterms:modified>
</cp:coreProperties>
</file>