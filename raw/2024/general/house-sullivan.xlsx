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:\Elections\2024 Elections\2024 General Election\2024 GE Tally Sheets FINAL\"/>
    </mc:Choice>
  </mc:AlternateContent>
  <xr:revisionPtr revIDLastSave="0" documentId="13_ncr:1_{1EF486A0-77A7-4CD1-9D48-CE81E5266197}" xr6:coauthVersionLast="47" xr6:coauthVersionMax="47" xr10:uidLastSave="{00000000-0000-0000-0000-000000000000}"/>
  <bookViews>
    <workbookView xWindow="22932" yWindow="-108" windowWidth="23256" windowHeight="12576" xr2:uid="{6DC60A22-F972-4BBA-829A-CE2993AB8A22}"/>
  </bookViews>
  <sheets>
    <sheet name="rsullivanrep" sheetId="9" r:id="rId1"/>
  </sheets>
  <definedNames>
    <definedName name="_xlnm.Print_Area" localSheetId="0">rsullivanrep!$A$1:$K$58</definedName>
    <definedName name="_xlnm.Print_Titles" localSheetId="0">rsullivanrep!$1:$2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9" l="1"/>
  <c r="I25" i="9"/>
  <c r="G25" i="9"/>
  <c r="E25" i="9"/>
  <c r="C25" i="9"/>
  <c r="J25" i="9"/>
  <c r="F25" i="9"/>
  <c r="D25" i="9"/>
  <c r="C44" i="9"/>
  <c r="H25" i="9"/>
  <c r="G9" i="9"/>
  <c r="H9" i="9"/>
  <c r="I9" i="9"/>
  <c r="I14" i="9"/>
  <c r="H14" i="9"/>
  <c r="I21" i="9"/>
  <c r="H21" i="9"/>
  <c r="I31" i="9"/>
  <c r="H31" i="9"/>
  <c r="I44" i="9"/>
  <c r="H44" i="9"/>
  <c r="I58" i="9"/>
  <c r="H58" i="9"/>
  <c r="G58" i="9"/>
  <c r="E58" i="9"/>
  <c r="D58" i="9"/>
  <c r="G44" i="9"/>
  <c r="G31" i="9"/>
  <c r="E37" i="9"/>
  <c r="D37" i="9"/>
  <c r="C37" i="9"/>
  <c r="B37" i="9"/>
  <c r="G14" i="9"/>
  <c r="G21" i="9"/>
  <c r="C21" i="9"/>
  <c r="E14" i="9"/>
  <c r="C9" i="9"/>
  <c r="B58" i="9"/>
  <c r="C58" i="9"/>
  <c r="B44" i="9"/>
  <c r="B31" i="9"/>
  <c r="C31" i="9"/>
  <c r="D31" i="9"/>
  <c r="B21" i="9"/>
  <c r="B14" i="9"/>
  <c r="C14" i="9"/>
  <c r="D14" i="9"/>
  <c r="B9" i="9"/>
  <c r="B25" i="9"/>
</calcChain>
</file>

<file path=xl/sharedStrings.xml><?xml version="1.0" encoding="utf-8"?>
<sst xmlns="http://schemas.openxmlformats.org/spreadsheetml/2006/main" count="111" uniqueCount="58">
  <si>
    <t>District No. 1 (1)</t>
  </si>
  <si>
    <t>Brian M. Sullivan, d</t>
  </si>
  <si>
    <t>Joel T. Hutchins, r</t>
  </si>
  <si>
    <t>Write-Ins</t>
  </si>
  <si>
    <t>Overvotes</t>
  </si>
  <si>
    <t>Undervotes</t>
  </si>
  <si>
    <t>Grantham</t>
  </si>
  <si>
    <t>District No. 2 (1)</t>
  </si>
  <si>
    <t>William Palmer, d</t>
  </si>
  <si>
    <t>Virginia Drye, r</t>
  </si>
  <si>
    <t>Cornish</t>
  </si>
  <si>
    <t>Plainfield</t>
  </si>
  <si>
    <t>Totals</t>
  </si>
  <si>
    <t>District No. 3 (3)</t>
  </si>
  <si>
    <t>Nikki Murphy, d</t>
  </si>
  <si>
    <t>Skip Rollins, r</t>
  </si>
  <si>
    <t>Steven Smith, r</t>
  </si>
  <si>
    <t>Walter Spilsbury, r</t>
  </si>
  <si>
    <t>Charlestown</t>
  </si>
  <si>
    <t>Newport</t>
  </si>
  <si>
    <t xml:space="preserve"> </t>
  </si>
  <si>
    <t>Unity</t>
  </si>
  <si>
    <t>District No. 4 (1)</t>
  </si>
  <si>
    <t>Claudia Istel, d</t>
  </si>
  <si>
    <t>Judy Aron, r</t>
  </si>
  <si>
    <t>Acworth</t>
  </si>
  <si>
    <t>Goshen</t>
  </si>
  <si>
    <t>Langdon</t>
  </si>
  <si>
    <t>Lempster</t>
  </si>
  <si>
    <t>Washington</t>
  </si>
  <si>
    <t>District No. 5 (1)</t>
  </si>
  <si>
    <t>Linda Tanner, d</t>
  </si>
  <si>
    <t>George C. Grant, r</t>
  </si>
  <si>
    <t>Springfield</t>
  </si>
  <si>
    <t>Sunapee</t>
  </si>
  <si>
    <t>District No. 6 (3)</t>
  </si>
  <si>
    <t>John R. Cloutier, d</t>
  </si>
  <si>
    <t>Dale Girard, d</t>
  </si>
  <si>
    <t>Gary Merchant, d</t>
  </si>
  <si>
    <t>Claremont Ward 1</t>
  </si>
  <si>
    <t>Claremont Ward 2</t>
  </si>
  <si>
    <t>Claremont Ward 3</t>
  </si>
  <si>
    <t>Wayne J. Hemingway, r</t>
  </si>
  <si>
    <t>Robert W. Merrill Jr., r</t>
  </si>
  <si>
    <t>Emily Sandblade, r</t>
  </si>
  <si>
    <t>District No. 7 (1) FL</t>
  </si>
  <si>
    <t>Margaret M. Drye, r</t>
  </si>
  <si>
    <t>District No. 8 (2) FL</t>
  </si>
  <si>
    <t>Hope Damon, d</t>
  </si>
  <si>
    <t>Codi Raymond, d</t>
  </si>
  <si>
    <t>Michael Aron, r</t>
  </si>
  <si>
    <t>Jonathan F. Stone, r</t>
  </si>
  <si>
    <t>Croydon</t>
  </si>
  <si>
    <t>State Representative - SULLIVAN County</t>
  </si>
  <si>
    <t>State of New Hampshire - 2024 General Election</t>
  </si>
  <si>
    <t>Sean F. McCarthy, i</t>
  </si>
  <si>
    <t>Jenny Ramsey, d</t>
  </si>
  <si>
    <t>RECOUNT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</si>
</sst>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b/>
      <sz val="10"/>
      <name val="Times"/>
      <family val="1"/>
    </font>
    <font>
      <sz val="10"/>
      <name val="Times"/>
      <family val="1"/>
    </font>
    <font>
      <sz val="10"/>
      <name val="Arial"/>
      <family val="2"/>
    </font>
    <font>
      <b/>
      <sz val="10"/>
      <name val="Times"/>
    </font>
    <font>
      <sz val="10"/>
      <name val="Times"/>
    </font>
    <font>
      <b/>
      <sz val="10"/>
      <color rgb="FFFF0000"/>
      <name val="Times"/>
      <family val="1"/>
    </font>
    <font>
      <sz val="10"/>
      <color rgb="FF0070C0"/>
      <name val="Times"/>
    </font>
    <font>
      <sz val="10"/>
      <color rgb="FFFF0000"/>
      <name val="Times"/>
      <family val="1"/>
    </font>
    <font>
      <sz val="9"/>
      <name val="Times"/>
    </font>
    <font>
      <b/>
      <sz val="10"/>
      <color rgb="FFFF0000"/>
      <name val="Times"/>
    </font>
    <font>
      <sz val="8"/>
      <name val="Times"/>
    </font>
    <font>
      <b/>
      <sz val="8"/>
      <color rgb="FFFF0000"/>
      <name val="Time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</cellStyleXfs>
  <cellXfs count="51">
    <xf numFmtId="0" fontId="0" fillId="0" borderId="0" xfId="0"/>
    <xf numFmtId="0" fontId="5" fillId="0" borderId="1" xfId="0" applyFont="1" applyBorder="1"/>
    <xf numFmtId="0" fontId="5" fillId="0" borderId="0" xfId="0" applyFont="1"/>
    <xf numFmtId="0" fontId="4" fillId="0" borderId="1" xfId="0" applyFont="1" applyBorder="1"/>
    <xf numFmtId="0" fontId="4" fillId="0" borderId="0" xfId="0" applyFont="1"/>
    <xf numFmtId="0" fontId="7" fillId="0" borderId="1" xfId="0" applyFont="1" applyBorder="1"/>
    <xf numFmtId="0" fontId="7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1" xfId="3" applyFont="1" applyBorder="1"/>
    <xf numFmtId="0" fontId="8" fillId="0" borderId="2" xfId="0" applyFont="1" applyBorder="1"/>
    <xf numFmtId="0" fontId="8" fillId="0" borderId="0" xfId="0" applyFont="1"/>
    <xf numFmtId="0" fontId="8" fillId="2" borderId="1" xfId="0" applyFont="1" applyFill="1" applyBorder="1"/>
    <xf numFmtId="0" fontId="5" fillId="2" borderId="0" xfId="0" applyFont="1" applyFill="1"/>
    <xf numFmtId="0" fontId="5" fillId="2" borderId="1" xfId="0" applyFont="1" applyFill="1" applyBorder="1"/>
    <xf numFmtId="0" fontId="7" fillId="0" borderId="2" xfId="0" applyFont="1" applyBorder="1"/>
    <xf numFmtId="0" fontId="5" fillId="0" borderId="2" xfId="0" applyFont="1" applyBorder="1"/>
    <xf numFmtId="0" fontId="5" fillId="0" borderId="3" xfId="0" applyFont="1" applyBorder="1"/>
    <xf numFmtId="0" fontId="4" fillId="0" borderId="2" xfId="0" applyFont="1" applyBorder="1"/>
    <xf numFmtId="0" fontId="7" fillId="0" borderId="3" xfId="0" applyFont="1" applyBorder="1"/>
    <xf numFmtId="0" fontId="8" fillId="0" borderId="2" xfId="0" applyFont="1" applyBorder="1" applyAlignment="1">
      <alignment horizontal="right"/>
    </xf>
    <xf numFmtId="0" fontId="8" fillId="0" borderId="4" xfId="0" applyFont="1" applyBorder="1"/>
    <xf numFmtId="0" fontId="7" fillId="0" borderId="4" xfId="0" applyFont="1" applyBorder="1"/>
    <xf numFmtId="0" fontId="8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164" fontId="4" fillId="0" borderId="4" xfId="0" applyNumberFormat="1" applyFont="1" applyBorder="1" applyAlignment="1">
      <alignment horizontal="left" wrapText="1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2" borderId="3" xfId="0" applyFont="1" applyFill="1" applyBorder="1" applyAlignment="1">
      <alignment wrapText="1"/>
    </xf>
    <xf numFmtId="0" fontId="5" fillId="2" borderId="0" xfId="0" applyFont="1" applyFill="1" applyAlignment="1">
      <alignment wrapText="1"/>
    </xf>
    <xf numFmtId="0" fontId="10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3" xfId="3" applyFont="1" applyBorder="1" applyAlignment="1">
      <alignment horizontal="center"/>
    </xf>
    <xf numFmtId="0" fontId="12" fillId="2" borderId="3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0" fillId="0" borderId="6" xfId="0" applyBorder="1"/>
    <xf numFmtId="0" fontId="13" fillId="0" borderId="3" xfId="0" applyFont="1" applyBorder="1" applyAlignment="1">
      <alignment horizontal="center" wrapText="1"/>
    </xf>
    <xf numFmtId="0" fontId="13" fillId="0" borderId="1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13" fillId="0" borderId="1" xfId="0" applyFont="1" applyBorder="1"/>
    <xf numFmtId="0" fontId="13" fillId="0" borderId="0" xfId="0" applyFont="1"/>
    <xf numFmtId="0" fontId="14" fillId="0" borderId="3" xfId="0" applyFont="1" applyBorder="1" applyAlignment="1">
      <alignment horizontal="center" textRotation="90" wrapText="1"/>
    </xf>
    <xf numFmtId="0" fontId="15" fillId="0" borderId="3" xfId="0" applyFont="1" applyBorder="1" applyAlignment="1">
      <alignment horizontal="center" textRotation="90" wrapText="1"/>
    </xf>
  </cellXfs>
  <cellStyles count="7">
    <cellStyle name="Normal" xfId="0" builtinId="0"/>
    <cellStyle name="Normal 2 2" xfId="1" xr:uid="{3B0B74E3-29B8-470F-A9DA-C96637562BC2}"/>
    <cellStyle name="Normal 2 2 2" xfId="2" xr:uid="{A8EFB1AF-D1BA-466B-B1BB-175BBC8AE24F}"/>
    <cellStyle name="Normal 2 3" xfId="3" xr:uid="{EDBC6CC0-9C0A-4FFE-A65F-4B2E339E4AC9}"/>
    <cellStyle name="Normal 2 3 2" xfId="4" xr:uid="{B9942E82-F41A-4135-B92C-4AE37EB6B812}"/>
    <cellStyle name="Normal 2 4" xfId="5" xr:uid="{04A7398B-1D6F-4ED2-890C-FC601B711E65}"/>
    <cellStyle name="Normal 3 2" xfId="6" xr:uid="{8B825AF0-20AC-4E1D-B17B-D13643F7B9F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</xdr:colOff>
      <xdr:row>3</xdr:row>
      <xdr:rowOff>76200</xdr:rowOff>
    </xdr:from>
    <xdr:to>
      <xdr:col>0</xdr:col>
      <xdr:colOff>887023</xdr:colOff>
      <xdr:row>4</xdr:row>
      <xdr:rowOff>0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77076961-8238-A06D-1E3D-6D4EA055959D}"/>
            </a:ext>
          </a:extLst>
        </xdr:cNvPr>
        <xdr:cNvSpPr txBox="1">
          <a:spLocks noChangeArrowheads="1"/>
        </xdr:cNvSpPr>
      </xdr:nvSpPr>
      <xdr:spPr bwMode="auto">
        <a:xfrm>
          <a:off x="47625" y="238125"/>
          <a:ext cx="847725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41910</xdr:colOff>
      <xdr:row>3</xdr:row>
      <xdr:rowOff>76200</xdr:rowOff>
    </xdr:from>
    <xdr:to>
      <xdr:col>0</xdr:col>
      <xdr:colOff>887023</xdr:colOff>
      <xdr:row>4</xdr:row>
      <xdr:rowOff>0</xdr:rowOff>
    </xdr:to>
    <xdr:sp macro="" textlink="">
      <xdr:nvSpPr>
        <xdr:cNvPr id="10250" name="Text Box 10">
          <a:extLst>
            <a:ext uri="{FF2B5EF4-FFF2-40B4-BE49-F238E27FC236}">
              <a16:creationId xmlns:a16="http://schemas.microsoft.com/office/drawing/2014/main" id="{11682A19-4A97-E40E-AA63-66B945D3FDAA}"/>
            </a:ext>
          </a:extLst>
        </xdr:cNvPr>
        <xdr:cNvSpPr txBox="1">
          <a:spLocks noChangeArrowheads="1"/>
        </xdr:cNvSpPr>
      </xdr:nvSpPr>
      <xdr:spPr bwMode="auto">
        <a:xfrm>
          <a:off x="47625" y="238125"/>
          <a:ext cx="847725" cy="85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43CC-A798-4DF4-9F25-EB852D04732C}">
  <sheetPr>
    <tabColor rgb="FF00B050"/>
  </sheetPr>
  <dimension ref="A1:K60"/>
  <sheetViews>
    <sheetView tabSelected="1" topLeftCell="A16" zoomScale="130" zoomScaleNormal="130" workbookViewId="0">
      <selection activeCell="M24" sqref="M24"/>
    </sheetView>
  </sheetViews>
  <sheetFormatPr defaultColWidth="9.109375" defaultRowHeight="13.2" x14ac:dyDescent="0.25"/>
  <cols>
    <col min="1" max="1" width="20.5546875" style="2" customWidth="1"/>
    <col min="2" max="2" width="18" style="2" customWidth="1"/>
    <col min="3" max="3" width="23.44140625" style="2" customWidth="1"/>
    <col min="4" max="4" width="13.33203125" style="2" customWidth="1"/>
    <col min="5" max="5" width="11.109375" style="2" bestFit="1" customWidth="1"/>
    <col min="6" max="6" width="9.6640625" style="2" bestFit="1" customWidth="1"/>
    <col min="7" max="7" width="13.33203125" style="2" customWidth="1"/>
    <col min="8" max="8" width="9.33203125" style="2" bestFit="1" customWidth="1"/>
    <col min="9" max="9" width="11.33203125" style="2" customWidth="1"/>
    <col min="10" max="11" width="2.5546875" style="2" bestFit="1" customWidth="1"/>
    <col min="12" max="16384" width="9.109375" style="2"/>
  </cols>
  <sheetData>
    <row r="1" spans="1:9" x14ac:dyDescent="0.25">
      <c r="A1" s="40" t="s">
        <v>54</v>
      </c>
      <c r="B1" s="40"/>
      <c r="C1" s="40"/>
      <c r="D1" s="40"/>
      <c r="E1" s="40"/>
      <c r="F1" s="40"/>
      <c r="G1" s="40"/>
      <c r="H1" s="40"/>
      <c r="I1" s="40"/>
    </row>
    <row r="2" spans="1:9" ht="18.75" customHeight="1" x14ac:dyDescent="0.25">
      <c r="A2" s="41" t="s">
        <v>53</v>
      </c>
      <c r="B2" s="42"/>
      <c r="C2" s="42"/>
      <c r="D2" s="42"/>
      <c r="E2" s="42"/>
      <c r="F2" s="42"/>
      <c r="G2" s="42"/>
      <c r="H2" s="42"/>
      <c r="I2" s="43"/>
    </row>
    <row r="3" spans="1:9" ht="18.75" customHeight="1" thickBot="1" x14ac:dyDescent="0.3">
      <c r="A3" s="27">
        <v>45601</v>
      </c>
      <c r="B3" s="35"/>
      <c r="C3" s="36"/>
      <c r="D3" s="36"/>
      <c r="E3" s="36"/>
      <c r="F3" s="36"/>
      <c r="G3" s="36"/>
      <c r="H3" s="36"/>
      <c r="I3" s="36"/>
    </row>
    <row r="4" spans="1:9" s="29" customFormat="1" ht="13.8" thickTop="1" x14ac:dyDescent="0.25">
      <c r="A4" s="28" t="s">
        <v>0</v>
      </c>
      <c r="B4" s="26" t="s">
        <v>1</v>
      </c>
      <c r="C4" s="26" t="s">
        <v>2</v>
      </c>
      <c r="D4" s="26"/>
      <c r="E4" s="26"/>
      <c r="F4" s="26"/>
      <c r="G4" s="26" t="s">
        <v>5</v>
      </c>
      <c r="H4" s="26" t="s">
        <v>4</v>
      </c>
      <c r="I4" s="26" t="s">
        <v>3</v>
      </c>
    </row>
    <row r="5" spans="1:9" ht="15" customHeight="1" thickBot="1" x14ac:dyDescent="0.3">
      <c r="A5" s="16" t="s">
        <v>6</v>
      </c>
      <c r="B5" s="10">
        <v>1565</v>
      </c>
      <c r="C5" s="10">
        <v>811</v>
      </c>
      <c r="D5" s="20"/>
      <c r="E5" s="10"/>
      <c r="F5" s="10"/>
      <c r="G5" s="16">
        <v>86</v>
      </c>
      <c r="H5" s="16">
        <v>0</v>
      </c>
      <c r="I5" s="10">
        <v>2</v>
      </c>
    </row>
    <row r="6" spans="1:9" s="6" customFormat="1" ht="13.8" thickTop="1" x14ac:dyDescent="0.25">
      <c r="A6" s="19" t="s">
        <v>7</v>
      </c>
      <c r="B6" s="26" t="s">
        <v>8</v>
      </c>
      <c r="C6" s="26" t="s">
        <v>9</v>
      </c>
      <c r="D6" s="23"/>
      <c r="E6" s="23"/>
      <c r="F6" s="23"/>
      <c r="G6" s="26" t="s">
        <v>5</v>
      </c>
      <c r="H6" s="26" t="s">
        <v>4</v>
      </c>
      <c r="I6" s="26" t="s">
        <v>3</v>
      </c>
    </row>
    <row r="7" spans="1:9" ht="15" customHeight="1" x14ac:dyDescent="0.25">
      <c r="A7" s="1" t="s">
        <v>10</v>
      </c>
      <c r="B7" s="7">
        <v>618</v>
      </c>
      <c r="C7" s="7">
        <v>496</v>
      </c>
      <c r="D7" s="7"/>
      <c r="E7" s="8"/>
      <c r="F7" s="8"/>
      <c r="G7" s="1">
        <v>27</v>
      </c>
      <c r="H7" s="1">
        <v>0</v>
      </c>
      <c r="I7" s="8">
        <v>0</v>
      </c>
    </row>
    <row r="8" spans="1:9" ht="15" customHeight="1" x14ac:dyDescent="0.25">
      <c r="A8" s="1" t="s">
        <v>11</v>
      </c>
      <c r="B8" s="7">
        <v>1044</v>
      </c>
      <c r="C8" s="7">
        <v>606</v>
      </c>
      <c r="D8" s="7"/>
      <c r="E8" s="8"/>
      <c r="F8" s="8"/>
      <c r="G8" s="1">
        <v>62</v>
      </c>
      <c r="H8" s="1">
        <v>2</v>
      </c>
      <c r="I8" s="8">
        <v>0</v>
      </c>
    </row>
    <row r="9" spans="1:9" s="4" customFormat="1" ht="15" customHeight="1" thickBot="1" x14ac:dyDescent="0.3">
      <c r="A9" s="18" t="s">
        <v>12</v>
      </c>
      <c r="B9" s="10">
        <f>SUM(B7:B8)</f>
        <v>1662</v>
      </c>
      <c r="C9" s="10">
        <f>SUM(C7:C8)</f>
        <v>1102</v>
      </c>
      <c r="D9" s="10"/>
      <c r="E9" s="10"/>
      <c r="F9" s="10"/>
      <c r="G9" s="10">
        <f>SUM(G7:G8)</f>
        <v>89</v>
      </c>
      <c r="H9" s="10">
        <f>SUM(H7:H8)</f>
        <v>2</v>
      </c>
      <c r="I9" s="10">
        <f>SUM(I7:I8)</f>
        <v>0</v>
      </c>
    </row>
    <row r="10" spans="1:9" s="29" customFormat="1" ht="27" thickTop="1" x14ac:dyDescent="0.25">
      <c r="A10" s="28" t="s">
        <v>13</v>
      </c>
      <c r="B10" s="26" t="s">
        <v>14</v>
      </c>
      <c r="C10" s="26" t="s">
        <v>15</v>
      </c>
      <c r="D10" s="26" t="s">
        <v>16</v>
      </c>
      <c r="E10" s="26" t="s">
        <v>17</v>
      </c>
      <c r="F10" s="26"/>
      <c r="G10" s="26" t="s">
        <v>5</v>
      </c>
      <c r="H10" s="26" t="s">
        <v>4</v>
      </c>
      <c r="I10" s="26" t="s">
        <v>3</v>
      </c>
    </row>
    <row r="11" spans="1:9" s="6" customFormat="1" x14ac:dyDescent="0.25">
      <c r="A11" s="7" t="s">
        <v>18</v>
      </c>
      <c r="B11" s="8">
        <v>1014</v>
      </c>
      <c r="C11" s="8">
        <v>1212</v>
      </c>
      <c r="D11" s="8">
        <v>1340</v>
      </c>
      <c r="E11" s="8">
        <v>1263</v>
      </c>
      <c r="F11" s="24"/>
      <c r="G11" s="7">
        <v>2758</v>
      </c>
      <c r="H11" s="7">
        <v>0</v>
      </c>
      <c r="I11" s="8">
        <v>9</v>
      </c>
    </row>
    <row r="12" spans="1:9" s="6" customFormat="1" x14ac:dyDescent="0.25">
      <c r="A12" s="7" t="s">
        <v>19</v>
      </c>
      <c r="B12" s="8">
        <v>1275</v>
      </c>
      <c r="C12" s="8">
        <v>2149</v>
      </c>
      <c r="D12" s="8">
        <v>1719</v>
      </c>
      <c r="E12" s="8">
        <v>1460</v>
      </c>
      <c r="F12" s="24"/>
      <c r="G12" s="7">
        <v>3423</v>
      </c>
      <c r="H12" s="7">
        <v>0</v>
      </c>
      <c r="I12" s="8">
        <v>3</v>
      </c>
    </row>
    <row r="13" spans="1:9" s="6" customFormat="1" x14ac:dyDescent="0.25">
      <c r="A13" s="7" t="s">
        <v>21</v>
      </c>
      <c r="B13" s="8">
        <v>277</v>
      </c>
      <c r="C13" s="8">
        <v>575</v>
      </c>
      <c r="D13" s="8">
        <v>449</v>
      </c>
      <c r="E13" s="8">
        <v>407</v>
      </c>
      <c r="F13" s="24"/>
      <c r="G13" s="7">
        <v>986</v>
      </c>
      <c r="H13" s="7">
        <v>25</v>
      </c>
      <c r="I13" s="8">
        <v>0</v>
      </c>
    </row>
    <row r="14" spans="1:9" s="11" customFormat="1" ht="15" customHeight="1" thickBot="1" x14ac:dyDescent="0.3">
      <c r="A14" s="15" t="s">
        <v>12</v>
      </c>
      <c r="B14" s="20">
        <f>SUM(B11:B13)</f>
        <v>2566</v>
      </c>
      <c r="C14" s="20">
        <f>SUM(C11:C13)</f>
        <v>3936</v>
      </c>
      <c r="D14" s="20">
        <f>SUM(D11:D13)</f>
        <v>3508</v>
      </c>
      <c r="E14" s="20">
        <f>SUM(E11:E13)</f>
        <v>3130</v>
      </c>
      <c r="F14" s="10"/>
      <c r="G14" s="20">
        <f>SUM(G11:G13)</f>
        <v>7167</v>
      </c>
      <c r="H14" s="20">
        <f>SUM(H11:H13)</f>
        <v>25</v>
      </c>
      <c r="I14" s="20">
        <f>SUM(I11:I13)</f>
        <v>12</v>
      </c>
    </row>
    <row r="15" spans="1:9" ht="15" customHeight="1" thickTop="1" x14ac:dyDescent="0.25">
      <c r="A15" s="19" t="s">
        <v>22</v>
      </c>
      <c r="B15" s="23" t="s">
        <v>23</v>
      </c>
      <c r="C15" s="23" t="s">
        <v>24</v>
      </c>
      <c r="D15" s="23"/>
      <c r="E15" s="23"/>
      <c r="F15" s="23"/>
      <c r="G15" s="26" t="s">
        <v>5</v>
      </c>
      <c r="H15" s="26" t="s">
        <v>4</v>
      </c>
      <c r="I15" s="26" t="s">
        <v>3</v>
      </c>
    </row>
    <row r="16" spans="1:9" ht="15" customHeight="1" x14ac:dyDescent="0.25">
      <c r="A16" s="7" t="s">
        <v>25</v>
      </c>
      <c r="B16" s="8">
        <v>264</v>
      </c>
      <c r="C16" s="8">
        <v>303</v>
      </c>
      <c r="D16" s="24"/>
      <c r="E16" s="24"/>
      <c r="F16" s="24"/>
      <c r="G16" s="1">
        <v>26</v>
      </c>
      <c r="H16" s="1">
        <v>1</v>
      </c>
      <c r="I16" s="7">
        <v>1</v>
      </c>
    </row>
    <row r="17" spans="1:11" ht="15" customHeight="1" x14ac:dyDescent="0.25">
      <c r="A17" s="7" t="s">
        <v>26</v>
      </c>
      <c r="B17" s="8">
        <v>144</v>
      </c>
      <c r="C17" s="8">
        <v>295</v>
      </c>
      <c r="D17" s="24"/>
      <c r="E17" s="24"/>
      <c r="F17" s="24"/>
      <c r="G17" s="1">
        <v>45</v>
      </c>
      <c r="H17" s="1">
        <v>0</v>
      </c>
      <c r="I17" s="7">
        <v>0</v>
      </c>
    </row>
    <row r="18" spans="1:11" ht="15" customHeight="1" x14ac:dyDescent="0.25">
      <c r="A18" s="7" t="s">
        <v>27</v>
      </c>
      <c r="B18" s="8">
        <v>177</v>
      </c>
      <c r="C18" s="8">
        <v>231</v>
      </c>
      <c r="D18" s="24"/>
      <c r="E18" s="24"/>
      <c r="F18" s="24"/>
      <c r="G18" s="1">
        <v>23</v>
      </c>
      <c r="H18" s="1">
        <v>0</v>
      </c>
      <c r="I18" s="7">
        <v>0</v>
      </c>
    </row>
    <row r="19" spans="1:11" ht="15" customHeight="1" x14ac:dyDescent="0.25">
      <c r="A19" s="7" t="s">
        <v>28</v>
      </c>
      <c r="B19" s="8">
        <v>278</v>
      </c>
      <c r="C19" s="8">
        <v>434</v>
      </c>
      <c r="D19" s="24"/>
      <c r="E19" s="24"/>
      <c r="F19" s="24"/>
      <c r="G19" s="1">
        <v>40</v>
      </c>
      <c r="H19" s="1">
        <v>0</v>
      </c>
      <c r="I19" s="7">
        <v>0</v>
      </c>
    </row>
    <row r="20" spans="1:11" ht="15" customHeight="1" x14ac:dyDescent="0.25">
      <c r="A20" s="7" t="s">
        <v>29</v>
      </c>
      <c r="B20" s="8">
        <v>291</v>
      </c>
      <c r="C20" s="8">
        <v>543</v>
      </c>
      <c r="D20" s="24"/>
      <c r="E20" s="24"/>
      <c r="F20" s="24"/>
      <c r="G20" s="1">
        <v>54</v>
      </c>
      <c r="H20" s="1">
        <v>0</v>
      </c>
      <c r="I20" s="7">
        <v>0</v>
      </c>
    </row>
    <row r="21" spans="1:11" s="11" customFormat="1" ht="15" customHeight="1" thickBot="1" x14ac:dyDescent="0.3">
      <c r="A21" s="15" t="s">
        <v>12</v>
      </c>
      <c r="B21" s="20">
        <f>SUM(B16:B20)</f>
        <v>1154</v>
      </c>
      <c r="C21" s="20">
        <f>SUM(C16:C20)</f>
        <v>1806</v>
      </c>
      <c r="D21" s="10"/>
      <c r="E21" s="25"/>
      <c r="F21" s="10"/>
      <c r="G21" s="20">
        <f>SUM(G16:G20)</f>
        <v>188</v>
      </c>
      <c r="H21" s="20">
        <f>SUM(H16:H20)</f>
        <v>1</v>
      </c>
      <c r="I21" s="20">
        <f>SUM(I16:I20)</f>
        <v>1</v>
      </c>
    </row>
    <row r="22" spans="1:11" s="30" customFormat="1" ht="47.4" customHeight="1" thickTop="1" x14ac:dyDescent="0.25">
      <c r="A22" s="28" t="s">
        <v>30</v>
      </c>
      <c r="B22" s="26" t="s">
        <v>31</v>
      </c>
      <c r="C22" s="44" t="s">
        <v>57</v>
      </c>
      <c r="D22" s="26" t="s">
        <v>32</v>
      </c>
      <c r="E22" s="44" t="s">
        <v>57</v>
      </c>
      <c r="F22" s="26" t="s">
        <v>5</v>
      </c>
      <c r="G22" s="44" t="s">
        <v>57</v>
      </c>
      <c r="H22" s="26" t="s">
        <v>4</v>
      </c>
      <c r="I22" s="44" t="s">
        <v>57</v>
      </c>
      <c r="J22" s="49" t="s">
        <v>3</v>
      </c>
      <c r="K22" s="50" t="s">
        <v>57</v>
      </c>
    </row>
    <row r="23" spans="1:11" ht="15" customHeight="1" x14ac:dyDescent="0.25">
      <c r="A23" s="7" t="s">
        <v>33</v>
      </c>
      <c r="B23" s="8">
        <v>447</v>
      </c>
      <c r="C23" s="45">
        <v>447</v>
      </c>
      <c r="D23" s="8">
        <v>471</v>
      </c>
      <c r="E23" s="45">
        <v>471</v>
      </c>
      <c r="F23" s="1">
        <v>29</v>
      </c>
      <c r="G23" s="47">
        <v>28</v>
      </c>
      <c r="H23" s="1">
        <v>0</v>
      </c>
      <c r="I23" s="47">
        <v>0</v>
      </c>
      <c r="J23" s="7">
        <v>2</v>
      </c>
      <c r="K23" s="48">
        <v>3</v>
      </c>
    </row>
    <row r="24" spans="1:11" ht="15" customHeight="1" x14ac:dyDescent="0.25">
      <c r="A24" s="7" t="s">
        <v>34</v>
      </c>
      <c r="B24" s="8">
        <v>1222</v>
      </c>
      <c r="C24" s="45">
        <v>1223</v>
      </c>
      <c r="D24" s="8">
        <v>1212</v>
      </c>
      <c r="E24" s="45">
        <v>1215</v>
      </c>
      <c r="F24" s="1">
        <v>77</v>
      </c>
      <c r="G24" s="47">
        <v>77</v>
      </c>
      <c r="H24" s="1">
        <v>0</v>
      </c>
      <c r="I24" s="47">
        <v>0</v>
      </c>
      <c r="J24" s="7">
        <v>1</v>
      </c>
      <c r="K24" s="48">
        <v>1</v>
      </c>
    </row>
    <row r="25" spans="1:11" s="11" customFormat="1" ht="15" customHeight="1" thickBot="1" x14ac:dyDescent="0.3">
      <c r="A25" s="15" t="s">
        <v>12</v>
      </c>
      <c r="B25" s="20">
        <f>SUM(B23:B24)</f>
        <v>1669</v>
      </c>
      <c r="C25" s="46">
        <f>SUM(C23:C24)</f>
        <v>1670</v>
      </c>
      <c r="D25" s="20">
        <f>SUM(D23:D24)</f>
        <v>1683</v>
      </c>
      <c r="E25" s="46">
        <f>SUM(E23:E24)</f>
        <v>1686</v>
      </c>
      <c r="F25" s="10">
        <f t="shared" ref="F25:G25" si="0">SUM(F23:F24)</f>
        <v>106</v>
      </c>
      <c r="G25" s="46">
        <f>SUM(G23:G24)</f>
        <v>105</v>
      </c>
      <c r="H25" s="10">
        <f>SUM(H23:H24)</f>
        <v>0</v>
      </c>
      <c r="I25" s="46">
        <f>SUM(I23:I24)</f>
        <v>0</v>
      </c>
      <c r="J25" s="10">
        <f>SUM(J23:J24)</f>
        <v>3</v>
      </c>
      <c r="K25" s="46">
        <f>SUM(K23:K24)</f>
        <v>4</v>
      </c>
    </row>
    <row r="26" spans="1:11" s="29" customFormat="1" ht="27" thickTop="1" x14ac:dyDescent="0.25">
      <c r="A26" s="28" t="s">
        <v>35</v>
      </c>
      <c r="B26" s="26" t="s">
        <v>36</v>
      </c>
      <c r="C26" s="26" t="s">
        <v>37</v>
      </c>
      <c r="D26" s="26" t="s">
        <v>38</v>
      </c>
      <c r="E26" s="26" t="s">
        <v>20</v>
      </c>
      <c r="F26" s="26"/>
      <c r="G26" s="26" t="s">
        <v>5</v>
      </c>
      <c r="H26" s="26" t="s">
        <v>4</v>
      </c>
      <c r="I26" s="26" t="s">
        <v>3</v>
      </c>
    </row>
    <row r="27" spans="1:11" ht="15" customHeight="1" x14ac:dyDescent="0.25">
      <c r="A27" s="1" t="s">
        <v>39</v>
      </c>
      <c r="B27" s="7">
        <v>789</v>
      </c>
      <c r="C27" s="7">
        <v>780</v>
      </c>
      <c r="D27" s="7">
        <v>728</v>
      </c>
      <c r="E27" s="7"/>
      <c r="F27" s="7"/>
      <c r="G27" s="1">
        <v>989</v>
      </c>
      <c r="H27" s="1">
        <v>0</v>
      </c>
      <c r="I27" s="7">
        <v>2</v>
      </c>
    </row>
    <row r="28" spans="1:11" ht="15" customHeight="1" x14ac:dyDescent="0.25">
      <c r="A28" s="1" t="s">
        <v>40</v>
      </c>
      <c r="B28" s="7">
        <v>1021</v>
      </c>
      <c r="C28" s="7">
        <v>1083</v>
      </c>
      <c r="D28" s="7">
        <v>987</v>
      </c>
      <c r="E28" s="7"/>
      <c r="F28" s="7"/>
      <c r="G28" s="1">
        <v>1108</v>
      </c>
      <c r="H28" s="1">
        <v>0</v>
      </c>
      <c r="I28" s="7">
        <v>0</v>
      </c>
    </row>
    <row r="29" spans="1:11" ht="15" customHeight="1" x14ac:dyDescent="0.25">
      <c r="A29" s="1" t="s">
        <v>41</v>
      </c>
      <c r="B29" s="1">
        <v>814</v>
      </c>
      <c r="C29" s="1">
        <v>871</v>
      </c>
      <c r="D29" s="1">
        <v>766</v>
      </c>
      <c r="E29" s="1"/>
      <c r="F29" s="1"/>
      <c r="G29" s="1">
        <v>1101</v>
      </c>
      <c r="H29" s="1">
        <v>0</v>
      </c>
      <c r="I29" s="1">
        <v>1</v>
      </c>
    </row>
    <row r="30" spans="1:11" s="4" customFormat="1" ht="15" customHeight="1" x14ac:dyDescent="0.25">
      <c r="A30" s="10" t="s">
        <v>52</v>
      </c>
      <c r="B30" s="10">
        <v>180</v>
      </c>
      <c r="C30" s="10">
        <v>161</v>
      </c>
      <c r="D30" s="10">
        <v>158</v>
      </c>
      <c r="E30" s="10"/>
      <c r="F30" s="10"/>
      <c r="G30" s="10">
        <v>351</v>
      </c>
      <c r="H30" s="10">
        <v>3</v>
      </c>
      <c r="I30" s="10">
        <v>2</v>
      </c>
    </row>
    <row r="31" spans="1:11" s="4" customFormat="1" ht="15" customHeight="1" x14ac:dyDescent="0.25">
      <c r="A31" s="5" t="s">
        <v>12</v>
      </c>
      <c r="B31" s="7">
        <f>SUM(B27:B30)</f>
        <v>2804</v>
      </c>
      <c r="C31" s="7">
        <f>SUM(C27:C30)</f>
        <v>2895</v>
      </c>
      <c r="D31" s="7">
        <f>SUM(D27:D30)</f>
        <v>2639</v>
      </c>
      <c r="E31" s="7"/>
      <c r="F31" s="7"/>
      <c r="G31" s="7">
        <f>SUM(G27:G30)</f>
        <v>3549</v>
      </c>
      <c r="H31" s="7">
        <f>SUM(H27:H30)</f>
        <v>3</v>
      </c>
      <c r="I31" s="7">
        <f>SUM(I27:I30)</f>
        <v>5</v>
      </c>
    </row>
    <row r="32" spans="1:11" s="32" customFormat="1" ht="26.4" x14ac:dyDescent="0.25">
      <c r="A32" s="31"/>
      <c r="B32" s="37" t="s">
        <v>42</v>
      </c>
      <c r="C32" s="37" t="s">
        <v>43</v>
      </c>
      <c r="D32" s="37" t="s">
        <v>44</v>
      </c>
      <c r="E32" s="37" t="s">
        <v>55</v>
      </c>
      <c r="F32" s="37"/>
      <c r="G32" s="37"/>
      <c r="H32" s="37"/>
      <c r="I32" s="37"/>
    </row>
    <row r="33" spans="1:9" ht="15" customHeight="1" x14ac:dyDescent="0.25">
      <c r="A33" s="1" t="s">
        <v>39</v>
      </c>
      <c r="B33" s="7">
        <v>666</v>
      </c>
      <c r="C33" s="7">
        <v>519</v>
      </c>
      <c r="D33" s="7">
        <v>507</v>
      </c>
      <c r="E33" s="7">
        <v>181</v>
      </c>
      <c r="F33" s="7"/>
      <c r="G33" s="1"/>
      <c r="H33" s="1"/>
      <c r="I33" s="7"/>
    </row>
    <row r="34" spans="1:9" ht="15" customHeight="1" x14ac:dyDescent="0.25">
      <c r="A34" s="1" t="s">
        <v>40</v>
      </c>
      <c r="B34" s="7">
        <v>944</v>
      </c>
      <c r="C34" s="7">
        <v>786</v>
      </c>
      <c r="D34" s="7">
        <v>751</v>
      </c>
      <c r="E34" s="7">
        <v>208</v>
      </c>
      <c r="F34" s="7"/>
      <c r="G34" s="1"/>
      <c r="H34" s="1"/>
      <c r="I34" s="7"/>
    </row>
    <row r="35" spans="1:9" ht="15" customHeight="1" x14ac:dyDescent="0.25">
      <c r="A35" s="1" t="s">
        <v>41</v>
      </c>
      <c r="B35" s="1">
        <v>863</v>
      </c>
      <c r="C35" s="1">
        <v>674</v>
      </c>
      <c r="D35" s="1">
        <v>640</v>
      </c>
      <c r="E35" s="1">
        <v>194</v>
      </c>
      <c r="F35" s="1"/>
      <c r="G35" s="1"/>
      <c r="H35" s="1"/>
      <c r="I35" s="1"/>
    </row>
    <row r="36" spans="1:9" s="4" customFormat="1" ht="15" customHeight="1" x14ac:dyDescent="0.25">
      <c r="A36" s="10" t="s">
        <v>52</v>
      </c>
      <c r="B36" s="10">
        <v>310</v>
      </c>
      <c r="C36" s="10">
        <v>278</v>
      </c>
      <c r="D36" s="10">
        <v>251</v>
      </c>
      <c r="E36" s="10">
        <v>43</v>
      </c>
      <c r="F36" s="10"/>
      <c r="G36" s="10"/>
      <c r="H36" s="10"/>
      <c r="I36" s="10"/>
    </row>
    <row r="37" spans="1:9" s="4" customFormat="1" ht="15" customHeight="1" thickBot="1" x14ac:dyDescent="0.3">
      <c r="A37" s="22" t="s">
        <v>12</v>
      </c>
      <c r="B37" s="21">
        <f>SUM(B33:B36)</f>
        <v>2783</v>
      </c>
      <c r="C37" s="21">
        <f>SUM(C33:C36)</f>
        <v>2257</v>
      </c>
      <c r="D37" s="21">
        <f>SUM(D33:D36)</f>
        <v>2149</v>
      </c>
      <c r="E37" s="21">
        <f>SUM(E33:E36)</f>
        <v>626</v>
      </c>
      <c r="F37" s="21"/>
      <c r="G37" s="21"/>
      <c r="H37" s="21"/>
      <c r="I37" s="21"/>
    </row>
    <row r="38" spans="1:9" s="6" customFormat="1" ht="13.8" thickTop="1" x14ac:dyDescent="0.25">
      <c r="A38" s="19" t="s">
        <v>45</v>
      </c>
      <c r="B38" s="38" t="s">
        <v>46</v>
      </c>
      <c r="C38" s="38" t="s">
        <v>56</v>
      </c>
      <c r="D38" s="38"/>
      <c r="E38" s="23"/>
      <c r="F38" s="23"/>
      <c r="G38" s="26" t="s">
        <v>5</v>
      </c>
      <c r="H38" s="26" t="s">
        <v>4</v>
      </c>
      <c r="I38" s="26" t="s">
        <v>3</v>
      </c>
    </row>
    <row r="39" spans="1:9" x14ac:dyDescent="0.25">
      <c r="A39" s="1" t="s">
        <v>18</v>
      </c>
      <c r="B39" s="9">
        <v>1341</v>
      </c>
      <c r="C39" s="9">
        <v>1044</v>
      </c>
      <c r="D39" s="9"/>
      <c r="E39" s="7"/>
      <c r="F39" s="7"/>
      <c r="G39" s="1">
        <v>144</v>
      </c>
      <c r="H39" s="1">
        <v>0</v>
      </c>
      <c r="I39" s="7">
        <v>3</v>
      </c>
    </row>
    <row r="40" spans="1:9" x14ac:dyDescent="0.25">
      <c r="A40" s="1" t="s">
        <v>10</v>
      </c>
      <c r="B40" s="9">
        <v>512</v>
      </c>
      <c r="C40" s="9">
        <v>596</v>
      </c>
      <c r="D40" s="9"/>
      <c r="E40" s="7"/>
      <c r="F40" s="7"/>
      <c r="G40" s="1">
        <v>33</v>
      </c>
      <c r="H40" s="1">
        <v>0</v>
      </c>
      <c r="I40" s="7">
        <v>0</v>
      </c>
    </row>
    <row r="41" spans="1:9" x14ac:dyDescent="0.25">
      <c r="A41" s="1" t="s">
        <v>19</v>
      </c>
      <c r="B41" s="9">
        <v>1901</v>
      </c>
      <c r="C41" s="9">
        <v>1262</v>
      </c>
      <c r="D41" s="9"/>
      <c r="E41" s="7"/>
      <c r="F41" s="7"/>
      <c r="G41" s="1">
        <v>182</v>
      </c>
      <c r="H41" s="1">
        <v>0</v>
      </c>
      <c r="I41" s="7">
        <v>0</v>
      </c>
    </row>
    <row r="42" spans="1:9" x14ac:dyDescent="0.25">
      <c r="A42" s="1" t="s">
        <v>11</v>
      </c>
      <c r="B42" s="7">
        <v>597</v>
      </c>
      <c r="C42" s="7">
        <v>1064</v>
      </c>
      <c r="D42" s="7"/>
      <c r="E42" s="7"/>
      <c r="F42" s="7"/>
      <c r="G42" s="1">
        <v>50</v>
      </c>
      <c r="H42" s="1">
        <v>2</v>
      </c>
      <c r="I42" s="7">
        <v>0</v>
      </c>
    </row>
    <row r="43" spans="1:9" x14ac:dyDescent="0.25">
      <c r="A43" s="1" t="s">
        <v>21</v>
      </c>
      <c r="B43" s="7">
        <v>553</v>
      </c>
      <c r="C43" s="7">
        <v>270</v>
      </c>
      <c r="D43" s="8"/>
      <c r="E43" s="7"/>
      <c r="F43" s="7"/>
      <c r="G43" s="1">
        <v>82</v>
      </c>
      <c r="H43" s="1">
        <v>0</v>
      </c>
      <c r="I43" s="7">
        <v>0</v>
      </c>
    </row>
    <row r="44" spans="1:9" x14ac:dyDescent="0.25">
      <c r="A44" s="3" t="s">
        <v>12</v>
      </c>
      <c r="B44" s="7">
        <f>SUM(B39:B43)</f>
        <v>4904</v>
      </c>
      <c r="C44" s="7">
        <f>SUM(C39:C43)</f>
        <v>4236</v>
      </c>
      <c r="D44" s="7"/>
      <c r="E44" s="7"/>
      <c r="F44" s="7"/>
      <c r="G44" s="7">
        <f>SUM(G39:G43)</f>
        <v>491</v>
      </c>
      <c r="H44" s="7">
        <f>SUM(H39:H43)</f>
        <v>2</v>
      </c>
      <c r="I44" s="7">
        <f>SUM(I39:I43)</f>
        <v>3</v>
      </c>
    </row>
    <row r="45" spans="1:9" ht="13.8" thickBot="1" x14ac:dyDescent="0.3">
      <c r="A45" s="18"/>
      <c r="B45" s="10"/>
      <c r="C45" s="10"/>
      <c r="D45" s="10"/>
      <c r="E45" s="10"/>
      <c r="F45" s="10"/>
      <c r="G45" s="16"/>
      <c r="H45" s="16"/>
      <c r="I45" s="10"/>
    </row>
    <row r="46" spans="1:9" s="34" customFormat="1" ht="24.6" thickTop="1" x14ac:dyDescent="0.25">
      <c r="A46" s="33" t="s">
        <v>47</v>
      </c>
      <c r="B46" s="39" t="s">
        <v>48</v>
      </c>
      <c r="C46" s="39" t="s">
        <v>49</v>
      </c>
      <c r="D46" s="39" t="s">
        <v>50</v>
      </c>
      <c r="E46" s="39" t="s">
        <v>51</v>
      </c>
      <c r="F46" s="39"/>
      <c r="G46" s="26" t="s">
        <v>5</v>
      </c>
      <c r="H46" s="26" t="s">
        <v>4</v>
      </c>
      <c r="I46" s="26" t="s">
        <v>3</v>
      </c>
    </row>
    <row r="47" spans="1:9" s="13" customFormat="1" ht="15" customHeight="1" x14ac:dyDescent="0.25">
      <c r="A47" s="14" t="s">
        <v>25</v>
      </c>
      <c r="B47" s="12">
        <v>283</v>
      </c>
      <c r="C47" s="12">
        <v>239</v>
      </c>
      <c r="D47" s="12">
        <v>294</v>
      </c>
      <c r="E47" s="12">
        <v>230</v>
      </c>
      <c r="F47" s="12"/>
      <c r="G47" s="14">
        <v>144</v>
      </c>
      <c r="H47" s="14">
        <v>0</v>
      </c>
      <c r="I47" s="12">
        <v>0</v>
      </c>
    </row>
    <row r="48" spans="1:9" ht="15" customHeight="1" x14ac:dyDescent="0.25">
      <c r="A48" s="1" t="s">
        <v>39</v>
      </c>
      <c r="B48" s="7">
        <v>841</v>
      </c>
      <c r="C48" s="7">
        <v>772</v>
      </c>
      <c r="D48" s="7">
        <v>613</v>
      </c>
      <c r="E48" s="7">
        <v>639</v>
      </c>
      <c r="F48" s="7"/>
      <c r="G48" s="1">
        <v>579</v>
      </c>
      <c r="H48" s="1">
        <v>0</v>
      </c>
      <c r="I48" s="7">
        <v>0</v>
      </c>
    </row>
    <row r="49" spans="1:9" ht="15" customHeight="1" x14ac:dyDescent="0.25">
      <c r="A49" s="1" t="s">
        <v>40</v>
      </c>
      <c r="B49" s="7">
        <v>1074</v>
      </c>
      <c r="C49" s="7">
        <v>1018</v>
      </c>
      <c r="D49" s="7">
        <v>897</v>
      </c>
      <c r="E49" s="7">
        <v>924</v>
      </c>
      <c r="F49" s="7"/>
      <c r="G49" s="1">
        <v>679</v>
      </c>
      <c r="H49" s="1">
        <v>0</v>
      </c>
      <c r="I49" s="7">
        <v>0</v>
      </c>
    </row>
    <row r="50" spans="1:9" ht="15" customHeight="1" x14ac:dyDescent="0.25">
      <c r="A50" s="1" t="s">
        <v>41</v>
      </c>
      <c r="B50" s="7">
        <v>872</v>
      </c>
      <c r="C50" s="7">
        <v>802</v>
      </c>
      <c r="D50" s="7">
        <v>766</v>
      </c>
      <c r="E50" s="7">
        <v>849</v>
      </c>
      <c r="F50" s="7"/>
      <c r="G50" s="1">
        <v>658</v>
      </c>
      <c r="H50" s="1">
        <v>0</v>
      </c>
      <c r="I50" s="7">
        <v>2</v>
      </c>
    </row>
    <row r="51" spans="1:9" ht="15" customHeight="1" x14ac:dyDescent="0.25">
      <c r="A51" s="1" t="s">
        <v>52</v>
      </c>
      <c r="B51" s="7">
        <v>223</v>
      </c>
      <c r="C51" s="7">
        <v>171</v>
      </c>
      <c r="D51" s="7">
        <v>300</v>
      </c>
      <c r="E51" s="7">
        <v>269</v>
      </c>
      <c r="F51" s="7"/>
      <c r="G51" s="1">
        <v>194</v>
      </c>
      <c r="H51" s="1">
        <v>0</v>
      </c>
      <c r="I51" s="7">
        <v>1</v>
      </c>
    </row>
    <row r="52" spans="1:9" ht="15" customHeight="1" x14ac:dyDescent="0.25">
      <c r="A52" s="1" t="s">
        <v>26</v>
      </c>
      <c r="B52" s="7">
        <v>163</v>
      </c>
      <c r="C52" s="7">
        <v>141</v>
      </c>
      <c r="D52" s="7">
        <v>263</v>
      </c>
      <c r="E52" s="7">
        <v>233</v>
      </c>
      <c r="F52" s="7"/>
      <c r="G52" s="1">
        <v>168</v>
      </c>
      <c r="H52" s="1">
        <v>0</v>
      </c>
      <c r="I52" s="7">
        <v>0</v>
      </c>
    </row>
    <row r="53" spans="1:9" ht="15" customHeight="1" x14ac:dyDescent="0.25">
      <c r="A53" s="1" t="s">
        <v>27</v>
      </c>
      <c r="B53" s="7">
        <v>170</v>
      </c>
      <c r="C53" s="7">
        <v>153</v>
      </c>
      <c r="D53" s="7">
        <v>215</v>
      </c>
      <c r="E53" s="7">
        <v>187</v>
      </c>
      <c r="F53" s="7"/>
      <c r="G53" s="1">
        <v>135</v>
      </c>
      <c r="H53" s="1">
        <v>2</v>
      </c>
      <c r="I53" s="7">
        <v>0</v>
      </c>
    </row>
    <row r="54" spans="1:9" ht="15" customHeight="1" x14ac:dyDescent="0.25">
      <c r="A54" s="1" t="s">
        <v>28</v>
      </c>
      <c r="B54" s="1">
        <v>308</v>
      </c>
      <c r="C54" s="1">
        <v>265</v>
      </c>
      <c r="D54" s="1">
        <v>392</v>
      </c>
      <c r="E54" s="1">
        <v>349</v>
      </c>
      <c r="F54" s="1"/>
      <c r="G54" s="1">
        <v>177</v>
      </c>
      <c r="H54" s="1">
        <v>0</v>
      </c>
      <c r="I54" s="1">
        <v>0</v>
      </c>
    </row>
    <row r="55" spans="1:9" ht="15" customHeight="1" x14ac:dyDescent="0.25">
      <c r="A55" s="1" t="s">
        <v>33</v>
      </c>
      <c r="B55" s="7">
        <v>447</v>
      </c>
      <c r="C55" s="7">
        <v>391</v>
      </c>
      <c r="D55" s="7">
        <v>404</v>
      </c>
      <c r="E55" s="7">
        <v>416</v>
      </c>
      <c r="F55" s="7"/>
      <c r="G55" s="1">
        <v>178</v>
      </c>
      <c r="H55" s="1">
        <v>0</v>
      </c>
      <c r="I55" s="7">
        <v>2</v>
      </c>
    </row>
    <row r="56" spans="1:9" x14ac:dyDescent="0.25">
      <c r="A56" s="1" t="s">
        <v>34</v>
      </c>
      <c r="B56" s="7">
        <v>1291</v>
      </c>
      <c r="C56" s="7">
        <v>1116</v>
      </c>
      <c r="D56" s="7">
        <v>1102</v>
      </c>
      <c r="E56" s="7">
        <v>1043</v>
      </c>
      <c r="F56" s="7"/>
      <c r="G56" s="1">
        <v>467</v>
      </c>
      <c r="H56" s="1">
        <v>0</v>
      </c>
      <c r="I56" s="7">
        <v>0</v>
      </c>
    </row>
    <row r="57" spans="1:9" x14ac:dyDescent="0.25">
      <c r="A57" s="1" t="s">
        <v>29</v>
      </c>
      <c r="B57" s="1">
        <v>320</v>
      </c>
      <c r="C57" s="1">
        <v>283</v>
      </c>
      <c r="D57" s="1">
        <v>498</v>
      </c>
      <c r="E57" s="1">
        <v>442</v>
      </c>
      <c r="F57" s="1"/>
      <c r="G57" s="1">
        <v>233</v>
      </c>
      <c r="H57" s="1">
        <v>0</v>
      </c>
      <c r="I57" s="1">
        <v>0</v>
      </c>
    </row>
    <row r="58" spans="1:9" ht="13.8" thickBot="1" x14ac:dyDescent="0.3">
      <c r="A58" s="15" t="s">
        <v>12</v>
      </c>
      <c r="B58" s="10">
        <f>SUM(B47:B57)</f>
        <v>5992</v>
      </c>
      <c r="C58" s="10">
        <f>SUM(C47:C57)</f>
        <v>5351</v>
      </c>
      <c r="D58" s="10">
        <f>SUM(D47:D57)</f>
        <v>5744</v>
      </c>
      <c r="E58" s="10">
        <f>SUM(E47:E57)</f>
        <v>5581</v>
      </c>
      <c r="F58" s="16"/>
      <c r="G58" s="10">
        <f>SUM(G47:G57)</f>
        <v>3612</v>
      </c>
      <c r="H58" s="10">
        <f>SUM(H47:H57)</f>
        <v>2</v>
      </c>
      <c r="I58" s="10">
        <f>SUM(I47:I57)</f>
        <v>5</v>
      </c>
    </row>
    <row r="59" spans="1:9" ht="13.8" thickTop="1" x14ac:dyDescent="0.25">
      <c r="A59" s="17"/>
      <c r="B59" s="17"/>
      <c r="C59" s="17"/>
      <c r="D59" s="17"/>
      <c r="E59" s="17"/>
      <c r="F59" s="17"/>
      <c r="G59" s="17"/>
      <c r="H59" s="17"/>
      <c r="I59" s="17"/>
    </row>
    <row r="60" spans="1:9" x14ac:dyDescent="0.25">
      <c r="A60" s="2" t="s">
        <v>20</v>
      </c>
    </row>
  </sheetData>
  <mergeCells count="2">
    <mergeCell ref="A1:I1"/>
    <mergeCell ref="A2:I2"/>
  </mergeCells>
  <phoneticPr fontId="2" type="noConversion"/>
  <printOptions gridLines="1"/>
  <pageMargins left="0.26" right="0.25" top="0.25" bottom="0.25" header="0.5" footer="0.5"/>
  <pageSetup orientation="landscape" r:id="rId1"/>
  <headerFooter alignWithMargins="0"/>
  <rowBreaks count="1" manualBreakCount="1">
    <brk id="2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rsullivanrep</vt:lpstr>
      <vt:lpstr>rsullivanrep!Print_Area</vt:lpstr>
      <vt:lpstr>rsullivanrep!Print_Titles</vt:lpstr>
    </vt:vector>
  </TitlesOfParts>
  <Manager/>
  <Company>State of NH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Ladd</dc:creator>
  <cp:keywords/>
  <dc:description/>
  <cp:lastModifiedBy>Kaley Dion</cp:lastModifiedBy>
  <cp:revision/>
  <cp:lastPrinted>2024-11-15T13:34:50Z</cp:lastPrinted>
  <dcterms:created xsi:type="dcterms:W3CDTF">2002-09-04T18:18:08Z</dcterms:created>
  <dcterms:modified xsi:type="dcterms:W3CDTF">2024-11-15T13:36:08Z</dcterms:modified>
  <cp:category/>
  <cp:contentStatus/>
</cp:coreProperties>
</file>