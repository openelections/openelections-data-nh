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Elections\2024 Elections\2024 General Election\2024 GE Tally Sheets FINAL\"/>
    </mc:Choice>
  </mc:AlternateContent>
  <xr:revisionPtr revIDLastSave="0" documentId="13_ncr:1_{10449F73-3FD9-4AF1-8EDF-63F3B891E769}" xr6:coauthVersionLast="47" xr6:coauthVersionMax="47" xr10:uidLastSave="{00000000-0000-0000-0000-000000000000}"/>
  <bookViews>
    <workbookView xWindow="22932" yWindow="-108" windowWidth="23256" windowHeight="12576" xr2:uid="{8B58DD4C-2F8E-4C6B-A232-0CCE9641C77E}"/>
  </bookViews>
  <sheets>
    <sheet name="dcarrollrep" sheetId="12" r:id="rId1"/>
  </sheets>
  <definedNames>
    <definedName name="_xlnm.Print_Area" localSheetId="0">dcarrollrep!$A$1:$I$49</definedName>
    <definedName name="_xlnm.Print_Titles" localSheetId="0">dcarrollrep!$1:$2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2" l="1"/>
  <c r="D15" i="12"/>
  <c r="E33" i="12"/>
  <c r="H15" i="12"/>
  <c r="G15" i="12"/>
  <c r="I15" i="12"/>
  <c r="G20" i="12"/>
  <c r="H27" i="12"/>
  <c r="G27" i="12"/>
  <c r="I27" i="12"/>
  <c r="H33" i="12"/>
  <c r="G33" i="12"/>
  <c r="I33" i="12"/>
  <c r="H38" i="12"/>
  <c r="G38" i="12"/>
  <c r="I38" i="12"/>
  <c r="H48" i="12"/>
  <c r="G48" i="12"/>
  <c r="H20" i="12"/>
  <c r="C48" i="12"/>
  <c r="E48" i="12"/>
  <c r="I48" i="12"/>
  <c r="D33" i="12"/>
  <c r="D27" i="12"/>
  <c r="I20" i="12"/>
  <c r="B48" i="12"/>
  <c r="D48" i="12"/>
  <c r="B38" i="12"/>
  <c r="B33" i="12"/>
  <c r="C33" i="12"/>
  <c r="B27" i="12"/>
  <c r="C27" i="12"/>
  <c r="B20" i="12"/>
  <c r="C20" i="12"/>
  <c r="D20" i="12"/>
  <c r="E20" i="12"/>
  <c r="B15" i="12"/>
  <c r="C15" i="12"/>
</calcChain>
</file>

<file path=xl/sharedStrings.xml><?xml version="1.0" encoding="utf-8"?>
<sst xmlns="http://schemas.openxmlformats.org/spreadsheetml/2006/main" count="98" uniqueCount="59">
  <si>
    <t>District No. 1 (3)</t>
  </si>
  <si>
    <t>Tom Buco, d</t>
  </si>
  <si>
    <t>David Paige, d</t>
  </si>
  <si>
    <t>Stephen L. Woodcock, d</t>
  </si>
  <si>
    <t>Karen C. Umberger, r</t>
  </si>
  <si>
    <t xml:space="preserve"> </t>
  </si>
  <si>
    <t>Write-Ins</t>
  </si>
  <si>
    <t>Overvotes</t>
  </si>
  <si>
    <t>Undervotes</t>
  </si>
  <si>
    <t>Conway</t>
  </si>
  <si>
    <t>District No. 2 (2)</t>
  </si>
  <si>
    <t>Anita Burroughs, d</t>
  </si>
  <si>
    <t>Chris McAleer, d</t>
  </si>
  <si>
    <t>Albany</t>
  </si>
  <si>
    <t>Bartlett</t>
  </si>
  <si>
    <t>Chatham</t>
  </si>
  <si>
    <t>Hale's Location</t>
  </si>
  <si>
    <t>Hart's Location</t>
  </si>
  <si>
    <t>Jackson</t>
  </si>
  <si>
    <t>Sandwich</t>
  </si>
  <si>
    <t>Totals</t>
  </si>
  <si>
    <t>District No. 3 (2)</t>
  </si>
  <si>
    <t>Kim Johnson, d</t>
  </si>
  <si>
    <t>Sandra Ringelstein, d</t>
  </si>
  <si>
    <t>Karel A. Crawford, r</t>
  </si>
  <si>
    <t>Joseph Hamblen, r</t>
  </si>
  <si>
    <t>Madison</t>
  </si>
  <si>
    <t>Moultonborough</t>
  </si>
  <si>
    <t>Tamworth</t>
  </si>
  <si>
    <t>District No. 4 (2)</t>
  </si>
  <si>
    <t>Donna V. Ackerman, d</t>
  </si>
  <si>
    <t>Lino M. Avellani, r</t>
  </si>
  <si>
    <t>Mike Belcher, r</t>
  </si>
  <si>
    <t>Brookfield</t>
  </si>
  <si>
    <t>Eaton</t>
  </si>
  <si>
    <t>Effingham</t>
  </si>
  <si>
    <t>Freedom</t>
  </si>
  <si>
    <t>Wakefield</t>
  </si>
  <si>
    <t>District No. 5 (1)</t>
  </si>
  <si>
    <t>Jonathan H. Smith, r</t>
  </si>
  <si>
    <t>Ossipee</t>
  </si>
  <si>
    <t>District No. 6 (2)</t>
  </si>
  <si>
    <t>Karen Burnett-Kurie, d</t>
  </si>
  <si>
    <t>John T. MacDonald, r</t>
  </si>
  <si>
    <t>Katy Peternel, r</t>
  </si>
  <si>
    <t>Tuftonboro</t>
  </si>
  <si>
    <t>Wolfeboro</t>
  </si>
  <si>
    <t>District No. 7 (1) F</t>
  </si>
  <si>
    <t>Bobbi Boudman, d</t>
  </si>
  <si>
    <t>Glenn Cordelli, r</t>
  </si>
  <si>
    <t>District No. 8 (2) F</t>
  </si>
  <si>
    <t>Rob Davies, d</t>
  </si>
  <si>
    <t>James Pittman, d</t>
  </si>
  <si>
    <t>Richard R. Brown, r</t>
  </si>
  <si>
    <t>Brian R. Taylor, r</t>
  </si>
  <si>
    <t>State Representatives - CARROLL County</t>
  </si>
  <si>
    <t>State of New Hampshire - 2024 General Election</t>
  </si>
  <si>
    <t>Maureen Blanchard, r</t>
  </si>
  <si>
    <t>Kayla Hewitt, i&amp;d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</si>
</sst>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Times"/>
      <family val="1"/>
    </font>
    <font>
      <sz val="10"/>
      <name val="Times"/>
      <family val="1"/>
    </font>
    <font>
      <sz val="10"/>
      <name val="Arial"/>
      <family val="2"/>
    </font>
    <font>
      <b/>
      <sz val="10"/>
      <name val="Times"/>
    </font>
    <font>
      <sz val="8"/>
      <name val="Arial"/>
      <family val="2"/>
    </font>
    <font>
      <sz val="10"/>
      <name val="Times"/>
    </font>
    <font>
      <b/>
      <sz val="10"/>
      <color rgb="FF0070C0"/>
      <name val="Times New Roman"/>
      <family val="1"/>
    </font>
    <font>
      <sz val="10"/>
      <color rgb="FF0070C0"/>
      <name val="Times New Roman"/>
      <family val="1"/>
    </font>
    <font>
      <sz val="9"/>
      <name val="Time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</cellStyleXfs>
  <cellXfs count="33">
    <xf numFmtId="0" fontId="0" fillId="0" borderId="0" xfId="0"/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0" borderId="1" xfId="0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3" fillId="0" borderId="3" xfId="0" applyFont="1" applyBorder="1"/>
    <xf numFmtId="0" fontId="9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5" fillId="2" borderId="3" xfId="0" applyFont="1" applyFill="1" applyBorder="1" applyAlignment="1">
      <alignment wrapText="1"/>
    </xf>
    <xf numFmtId="164" fontId="5" fillId="0" borderId="1" xfId="1" applyNumberFormat="1" applyFont="1" applyBorder="1" applyAlignment="1">
      <alignment wrapText="1"/>
    </xf>
    <xf numFmtId="165" fontId="3" fillId="0" borderId="6" xfId="0" applyNumberFormat="1" applyFont="1" applyBorder="1" applyAlignment="1">
      <alignment horizontal="center"/>
    </xf>
    <xf numFmtId="0" fontId="7" fillId="0" borderId="7" xfId="0" applyFont="1" applyBorder="1" applyAlignment="1">
      <alignment wrapText="1"/>
    </xf>
    <xf numFmtId="37" fontId="5" fillId="0" borderId="1" xfId="1" applyNumberFormat="1" applyFont="1" applyBorder="1" applyAlignment="1">
      <alignment wrapText="1"/>
    </xf>
    <xf numFmtId="164" fontId="5" fillId="0" borderId="1" xfId="1" applyNumberFormat="1" applyFont="1" applyFill="1" applyBorder="1" applyAlignment="1">
      <alignment wrapText="1"/>
    </xf>
    <xf numFmtId="37" fontId="5" fillId="0" borderId="1" xfId="1" applyNumberFormat="1" applyFont="1" applyFill="1" applyBorder="1" applyAlignment="1">
      <alignment wrapText="1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0" xfId="0" applyBorder="1"/>
    <xf numFmtId="0" fontId="10" fillId="0" borderId="9" xfId="0" applyFont="1" applyBorder="1" applyAlignment="1">
      <alignment horizontal="center"/>
    </xf>
  </cellXfs>
  <cellStyles count="8">
    <cellStyle name="Comma" xfId="1" builtinId="3"/>
    <cellStyle name="Normal" xfId="0" builtinId="0"/>
    <cellStyle name="Normal 2 2" xfId="2" xr:uid="{A9CDD253-2F31-4ECA-AFF7-A05D9D0576C5}"/>
    <cellStyle name="Normal 2 2 2" xfId="3" xr:uid="{28B76212-50DD-4688-A0A4-9B16DFDE5D1F}"/>
    <cellStyle name="Normal 2 3" xfId="4" xr:uid="{3654D1B1-0F78-43CF-A582-923E2D40AE73}"/>
    <cellStyle name="Normal 2 3 2" xfId="5" xr:uid="{463380D4-131E-40BD-B5B4-4FC94E644065}"/>
    <cellStyle name="Normal 2 4" xfId="6" xr:uid="{36CD3DA9-99A6-4C1F-9EC6-316F40EBB71C}"/>
    <cellStyle name="Normal 3 2" xfId="7" xr:uid="{C5304A9B-F979-458B-BC23-C5F7A91685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4B3E-AD50-47BD-83A7-42A230F8E883}">
  <sheetPr>
    <tabColor rgb="FF00B050"/>
  </sheetPr>
  <dimension ref="A1:I49"/>
  <sheetViews>
    <sheetView tabSelected="1" topLeftCell="A29" zoomScaleNormal="100" workbookViewId="0">
      <selection activeCell="J47" sqref="J47"/>
    </sheetView>
  </sheetViews>
  <sheetFormatPr defaultColWidth="12.44140625" defaultRowHeight="13.2" x14ac:dyDescent="0.25"/>
  <cols>
    <col min="1" max="1" width="17.33203125" style="2" customWidth="1"/>
    <col min="2" max="2" width="18.6640625" style="2" customWidth="1"/>
    <col min="3" max="3" width="16.6640625" style="2" customWidth="1"/>
    <col min="4" max="4" width="12.44140625" style="2" customWidth="1"/>
    <col min="5" max="5" width="17.33203125" style="2" customWidth="1"/>
    <col min="6" max="6" width="10.5546875" style="2" customWidth="1"/>
    <col min="7" max="7" width="11.109375" style="2" bestFit="1" customWidth="1"/>
    <col min="8" max="8" width="9.6640625" style="2" customWidth="1"/>
    <col min="9" max="16384" width="12.44140625" style="2"/>
  </cols>
  <sheetData>
    <row r="1" spans="1:9" ht="15" customHeight="1" x14ac:dyDescent="0.25">
      <c r="A1" s="29" t="s">
        <v>56</v>
      </c>
      <c r="B1" s="30"/>
      <c r="C1" s="30"/>
      <c r="D1" s="30"/>
      <c r="E1" s="30"/>
      <c r="F1" s="30"/>
      <c r="G1" s="30"/>
      <c r="H1" s="30"/>
      <c r="I1" s="31"/>
    </row>
    <row r="2" spans="1:9" ht="14.4" customHeight="1" x14ac:dyDescent="0.25">
      <c r="A2" s="29" t="s">
        <v>55</v>
      </c>
      <c r="B2" s="32"/>
      <c r="C2" s="32"/>
      <c r="D2" s="32"/>
      <c r="E2" s="32"/>
      <c r="F2" s="32"/>
      <c r="G2" s="32"/>
      <c r="H2" s="32"/>
      <c r="I2" s="31"/>
    </row>
    <row r="3" spans="1:9" ht="14.4" customHeight="1" thickBot="1" x14ac:dyDescent="0.3">
      <c r="A3" s="15">
        <v>45601</v>
      </c>
      <c r="B3" s="20"/>
      <c r="C3" s="20"/>
      <c r="D3" s="20"/>
      <c r="E3" s="20"/>
      <c r="F3" s="20"/>
      <c r="G3" s="20"/>
      <c r="H3" s="21"/>
    </row>
    <row r="4" spans="1:9" s="4" customFormat="1" ht="27" customHeight="1" thickTop="1" x14ac:dyDescent="0.25">
      <c r="A4" s="7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3" t="s">
        <v>5</v>
      </c>
      <c r="G4" s="22" t="s">
        <v>8</v>
      </c>
      <c r="H4" s="22" t="s">
        <v>7</v>
      </c>
      <c r="I4" s="22" t="s">
        <v>6</v>
      </c>
    </row>
    <row r="5" spans="1:9" ht="15" customHeight="1" x14ac:dyDescent="0.25">
      <c r="A5" s="1" t="s">
        <v>9</v>
      </c>
      <c r="B5" s="10">
        <v>2901</v>
      </c>
      <c r="C5" s="10">
        <v>2974</v>
      </c>
      <c r="D5" s="10">
        <v>3284</v>
      </c>
      <c r="E5" s="8">
        <v>2826</v>
      </c>
      <c r="F5" s="13"/>
      <c r="G5" s="1">
        <v>5948</v>
      </c>
      <c r="H5" s="1">
        <v>0</v>
      </c>
      <c r="I5" s="1">
        <v>7</v>
      </c>
    </row>
    <row r="6" spans="1:9" ht="15" customHeight="1" thickBot="1" x14ac:dyDescent="0.3">
      <c r="A6" s="1"/>
      <c r="B6" s="24"/>
      <c r="C6" s="24"/>
      <c r="D6" s="24"/>
      <c r="E6" s="24"/>
      <c r="F6" s="25"/>
      <c r="G6" s="1"/>
      <c r="H6" s="1"/>
      <c r="I6" s="1"/>
    </row>
    <row r="7" spans="1:9" s="4" customFormat="1" ht="24" customHeight="1" thickTop="1" x14ac:dyDescent="0.25">
      <c r="A7" s="7" t="s">
        <v>10</v>
      </c>
      <c r="B7" s="22" t="s">
        <v>11</v>
      </c>
      <c r="C7" s="22" t="s">
        <v>12</v>
      </c>
      <c r="D7" s="22" t="s">
        <v>57</v>
      </c>
      <c r="E7" s="22" t="s">
        <v>5</v>
      </c>
      <c r="F7" s="22" t="s">
        <v>5</v>
      </c>
      <c r="G7" s="22" t="s">
        <v>8</v>
      </c>
      <c r="H7" s="22" t="s">
        <v>7</v>
      </c>
      <c r="I7" s="22" t="s">
        <v>6</v>
      </c>
    </row>
    <row r="8" spans="1:9" ht="15" customHeight="1" x14ac:dyDescent="0.25">
      <c r="A8" s="1" t="s">
        <v>13</v>
      </c>
      <c r="B8" s="1">
        <v>228</v>
      </c>
      <c r="C8" s="5">
        <v>211</v>
      </c>
      <c r="D8" s="5">
        <v>209</v>
      </c>
      <c r="E8" s="1"/>
      <c r="F8" s="1"/>
      <c r="G8" s="1">
        <v>0</v>
      </c>
      <c r="H8" s="1">
        <v>0</v>
      </c>
      <c r="I8" s="1">
        <v>1</v>
      </c>
    </row>
    <row r="9" spans="1:9" ht="15" customHeight="1" x14ac:dyDescent="0.25">
      <c r="A9" s="1" t="s">
        <v>14</v>
      </c>
      <c r="B9" s="1">
        <v>1211</v>
      </c>
      <c r="C9" s="5">
        <v>1104</v>
      </c>
      <c r="D9" s="5">
        <v>893</v>
      </c>
      <c r="E9" s="1"/>
      <c r="F9" s="1"/>
      <c r="G9" s="1">
        <v>1040</v>
      </c>
      <c r="H9" s="1">
        <v>1</v>
      </c>
      <c r="I9" s="1">
        <v>5</v>
      </c>
    </row>
    <row r="10" spans="1:9" ht="15" customHeight="1" x14ac:dyDescent="0.25">
      <c r="A10" s="1" t="s">
        <v>15</v>
      </c>
      <c r="B10" s="1">
        <v>96</v>
      </c>
      <c r="C10" s="1">
        <v>88</v>
      </c>
      <c r="D10" s="1">
        <v>133</v>
      </c>
      <c r="E10" s="1"/>
      <c r="F10" s="1"/>
      <c r="G10" s="1">
        <v>152</v>
      </c>
      <c r="H10" s="1">
        <v>0</v>
      </c>
      <c r="I10" s="1">
        <v>1</v>
      </c>
    </row>
    <row r="11" spans="1:9" ht="15" customHeight="1" x14ac:dyDescent="0.25">
      <c r="A11" s="1" t="s">
        <v>16</v>
      </c>
      <c r="B11" s="1">
        <v>49</v>
      </c>
      <c r="C11" s="1">
        <v>50</v>
      </c>
      <c r="D11" s="1">
        <v>86</v>
      </c>
      <c r="E11" s="1"/>
      <c r="F11" s="1"/>
      <c r="G11" s="1">
        <v>89</v>
      </c>
      <c r="H11" s="1">
        <v>2</v>
      </c>
      <c r="I11" s="1">
        <v>0</v>
      </c>
    </row>
    <row r="12" spans="1:9" ht="15" customHeight="1" x14ac:dyDescent="0.25">
      <c r="A12" s="1" t="s">
        <v>17</v>
      </c>
      <c r="B12" s="1">
        <v>20</v>
      </c>
      <c r="C12" s="1">
        <v>20</v>
      </c>
      <c r="D12" s="1">
        <v>25</v>
      </c>
      <c r="E12" s="1"/>
      <c r="F12" s="1"/>
      <c r="G12" s="1">
        <v>26</v>
      </c>
      <c r="H12" s="1">
        <v>0</v>
      </c>
      <c r="I12" s="1">
        <v>1</v>
      </c>
    </row>
    <row r="13" spans="1:9" ht="15" customHeight="1" x14ac:dyDescent="0.25">
      <c r="A13" s="1" t="s">
        <v>18</v>
      </c>
      <c r="B13" s="1">
        <v>495</v>
      </c>
      <c r="C13" s="1">
        <v>502</v>
      </c>
      <c r="D13" s="1">
        <v>255</v>
      </c>
      <c r="E13" s="1"/>
      <c r="F13" s="1"/>
      <c r="G13" s="1">
        <v>295</v>
      </c>
      <c r="H13" s="1">
        <v>0</v>
      </c>
      <c r="I13" s="1">
        <v>2</v>
      </c>
    </row>
    <row r="14" spans="1:9" ht="15" customHeight="1" x14ac:dyDescent="0.25">
      <c r="A14" s="1" t="s">
        <v>19</v>
      </c>
      <c r="B14" s="1">
        <v>733</v>
      </c>
      <c r="C14" s="1">
        <v>660</v>
      </c>
      <c r="D14" s="1">
        <v>447</v>
      </c>
      <c r="E14" s="1"/>
      <c r="F14" s="1"/>
      <c r="G14" s="1">
        <v>557</v>
      </c>
      <c r="H14" s="1">
        <v>0</v>
      </c>
      <c r="I14" s="1">
        <v>1</v>
      </c>
    </row>
    <row r="15" spans="1:9" s="3" customFormat="1" ht="15" customHeight="1" thickBot="1" x14ac:dyDescent="0.3">
      <c r="A15" s="9" t="s">
        <v>20</v>
      </c>
      <c r="B15" s="10">
        <f>SUM(B8:B14)</f>
        <v>2832</v>
      </c>
      <c r="C15" s="10">
        <f>SUM(C8:C14)</f>
        <v>2635</v>
      </c>
      <c r="D15" s="10">
        <f>SUM(D8:D14)</f>
        <v>2048</v>
      </c>
      <c r="E15" s="10"/>
      <c r="F15" s="10"/>
      <c r="G15" s="10">
        <f>SUM(G8:G14)</f>
        <v>2159</v>
      </c>
      <c r="H15" s="10">
        <f>SUM(H8:H14)</f>
        <v>3</v>
      </c>
      <c r="I15" s="10">
        <f>SUM(I8:I14)</f>
        <v>11</v>
      </c>
    </row>
    <row r="16" spans="1:9" s="4" customFormat="1" ht="29.4" customHeight="1" thickTop="1" x14ac:dyDescent="0.25">
      <c r="A16" s="7" t="s">
        <v>21</v>
      </c>
      <c r="B16" s="22" t="s">
        <v>22</v>
      </c>
      <c r="C16" s="22" t="s">
        <v>23</v>
      </c>
      <c r="D16" s="22" t="s">
        <v>24</v>
      </c>
      <c r="E16" s="22" t="s">
        <v>25</v>
      </c>
      <c r="F16" s="22"/>
      <c r="G16" s="22" t="s">
        <v>8</v>
      </c>
      <c r="H16" s="22" t="s">
        <v>7</v>
      </c>
      <c r="I16" s="22" t="s">
        <v>6</v>
      </c>
    </row>
    <row r="17" spans="1:9" ht="15" customHeight="1" x14ac:dyDescent="0.25">
      <c r="A17" s="1" t="s">
        <v>26</v>
      </c>
      <c r="B17" s="1">
        <v>833</v>
      </c>
      <c r="C17" s="1">
        <v>805</v>
      </c>
      <c r="D17" s="1">
        <v>789</v>
      </c>
      <c r="E17" s="1">
        <v>711</v>
      </c>
      <c r="F17" s="1"/>
      <c r="G17" s="1">
        <v>430</v>
      </c>
      <c r="H17" s="1">
        <v>0</v>
      </c>
      <c r="I17" s="1">
        <v>2</v>
      </c>
    </row>
    <row r="18" spans="1:9" ht="15" customHeight="1" x14ac:dyDescent="0.25">
      <c r="A18" s="1" t="s">
        <v>27</v>
      </c>
      <c r="B18" s="1">
        <v>1486</v>
      </c>
      <c r="C18" s="1">
        <v>1506</v>
      </c>
      <c r="D18" s="1">
        <v>2174</v>
      </c>
      <c r="E18" s="1">
        <v>1868</v>
      </c>
      <c r="F18" s="1"/>
      <c r="G18" s="1">
        <v>807</v>
      </c>
      <c r="H18" s="1">
        <v>6</v>
      </c>
      <c r="I18" s="1">
        <v>3</v>
      </c>
    </row>
    <row r="19" spans="1:9" ht="15" customHeight="1" x14ac:dyDescent="0.25">
      <c r="A19" s="1" t="s">
        <v>28</v>
      </c>
      <c r="B19" s="1">
        <v>851</v>
      </c>
      <c r="C19" s="1">
        <v>804</v>
      </c>
      <c r="D19" s="1">
        <v>808</v>
      </c>
      <c r="E19" s="1">
        <v>756</v>
      </c>
      <c r="F19" s="1"/>
      <c r="G19" s="1">
        <v>484</v>
      </c>
      <c r="H19" s="1">
        <v>0</v>
      </c>
      <c r="I19" s="1">
        <v>2</v>
      </c>
    </row>
    <row r="20" spans="1:9" s="3" customFormat="1" ht="15" customHeight="1" thickBot="1" x14ac:dyDescent="0.3">
      <c r="A20" s="9" t="s">
        <v>20</v>
      </c>
      <c r="B20" s="10">
        <f t="shared" ref="B20:G20" si="0">SUM(B17:B19)</f>
        <v>3170</v>
      </c>
      <c r="C20" s="10">
        <f t="shared" si="0"/>
        <v>3115</v>
      </c>
      <c r="D20" s="10">
        <f t="shared" si="0"/>
        <v>3771</v>
      </c>
      <c r="E20" s="10">
        <f t="shared" si="0"/>
        <v>3335</v>
      </c>
      <c r="F20" s="8"/>
      <c r="G20" s="8">
        <f t="shared" si="0"/>
        <v>1721</v>
      </c>
      <c r="H20" s="8">
        <f>SUM(H17:H19)</f>
        <v>6</v>
      </c>
      <c r="I20" s="8">
        <f>SUM(I17:I19)</f>
        <v>7</v>
      </c>
    </row>
    <row r="21" spans="1:9" s="4" customFormat="1" ht="25.2" customHeight="1" thickTop="1" x14ac:dyDescent="0.25">
      <c r="A21" s="7" t="s">
        <v>29</v>
      </c>
      <c r="B21" s="22" t="s">
        <v>30</v>
      </c>
      <c r="C21" s="22" t="s">
        <v>31</v>
      </c>
      <c r="D21" s="22" t="s">
        <v>32</v>
      </c>
      <c r="E21" s="22"/>
      <c r="F21" s="22"/>
      <c r="G21" s="22" t="s">
        <v>8</v>
      </c>
      <c r="H21" s="22" t="s">
        <v>7</v>
      </c>
      <c r="I21" s="22" t="s">
        <v>6</v>
      </c>
    </row>
    <row r="22" spans="1:9" ht="15" customHeight="1" x14ac:dyDescent="0.25">
      <c r="A22" s="1" t="s">
        <v>33</v>
      </c>
      <c r="B22" s="1">
        <v>234</v>
      </c>
      <c r="C22" s="1">
        <v>327</v>
      </c>
      <c r="D22" s="1">
        <v>264</v>
      </c>
      <c r="E22" s="1"/>
      <c r="F22" s="1"/>
      <c r="G22" s="1">
        <v>345</v>
      </c>
      <c r="H22" s="1">
        <v>0</v>
      </c>
      <c r="I22" s="1">
        <v>2</v>
      </c>
    </row>
    <row r="23" spans="1:9" ht="15" customHeight="1" x14ac:dyDescent="0.25">
      <c r="A23" s="1" t="s">
        <v>34</v>
      </c>
      <c r="B23" s="1">
        <v>183</v>
      </c>
      <c r="C23" s="1">
        <v>97</v>
      </c>
      <c r="D23" s="1">
        <v>125</v>
      </c>
      <c r="E23" s="1"/>
      <c r="F23" s="1"/>
      <c r="G23" s="1">
        <v>240</v>
      </c>
      <c r="H23" s="1">
        <v>0</v>
      </c>
      <c r="I23" s="1">
        <v>1</v>
      </c>
    </row>
    <row r="24" spans="1:9" ht="15" customHeight="1" x14ac:dyDescent="0.25">
      <c r="A24" s="1" t="s">
        <v>35</v>
      </c>
      <c r="B24" s="1">
        <v>366</v>
      </c>
      <c r="C24" s="1">
        <v>487</v>
      </c>
      <c r="D24" s="1">
        <v>547</v>
      </c>
      <c r="E24" s="1"/>
      <c r="F24" s="1"/>
      <c r="G24" s="1">
        <v>634</v>
      </c>
      <c r="H24" s="1">
        <v>0</v>
      </c>
      <c r="I24" s="1">
        <v>0</v>
      </c>
    </row>
    <row r="25" spans="1:9" ht="15" customHeight="1" x14ac:dyDescent="0.25">
      <c r="A25" s="1" t="s">
        <v>36</v>
      </c>
      <c r="B25" s="2">
        <v>507</v>
      </c>
      <c r="C25" s="1">
        <v>515</v>
      </c>
      <c r="D25" s="1">
        <v>584</v>
      </c>
      <c r="E25" s="1"/>
      <c r="F25" s="1"/>
      <c r="G25" s="1">
        <v>800</v>
      </c>
      <c r="H25" s="1">
        <v>2</v>
      </c>
      <c r="I25" s="1">
        <v>2</v>
      </c>
    </row>
    <row r="26" spans="1:9" ht="15" customHeight="1" x14ac:dyDescent="0.25">
      <c r="A26" s="1" t="s">
        <v>37</v>
      </c>
      <c r="B26" s="1">
        <v>1252</v>
      </c>
      <c r="C26" s="1">
        <v>2174</v>
      </c>
      <c r="D26" s="1">
        <v>1712</v>
      </c>
      <c r="E26" s="1"/>
      <c r="F26" s="1"/>
      <c r="G26" s="1">
        <v>1965</v>
      </c>
      <c r="H26" s="1">
        <v>0</v>
      </c>
      <c r="I26" s="1">
        <v>2</v>
      </c>
    </row>
    <row r="27" spans="1:9" s="3" customFormat="1" ht="15" customHeight="1" thickBot="1" x14ac:dyDescent="0.3">
      <c r="A27" s="9" t="s">
        <v>20</v>
      </c>
      <c r="B27" s="10">
        <f>SUM(B22:B26)</f>
        <v>2542</v>
      </c>
      <c r="C27" s="10">
        <f>SUM(C22:C26)</f>
        <v>3600</v>
      </c>
      <c r="D27" s="10">
        <f>SUM(D22:D26)</f>
        <v>3232</v>
      </c>
      <c r="E27" s="10"/>
      <c r="F27" s="10"/>
      <c r="G27" s="10">
        <f>SUM(G22:G26)</f>
        <v>3984</v>
      </c>
      <c r="H27" s="10">
        <f>SUM(H22:H26)</f>
        <v>2</v>
      </c>
      <c r="I27" s="10">
        <f>SUM(I22:I26)</f>
        <v>7</v>
      </c>
    </row>
    <row r="28" spans="1:9" s="4" customFormat="1" ht="13.8" thickTop="1" x14ac:dyDescent="0.25">
      <c r="A28" s="7" t="s">
        <v>38</v>
      </c>
      <c r="B28" s="22" t="s">
        <v>39</v>
      </c>
      <c r="C28" s="22"/>
      <c r="D28" s="22"/>
      <c r="E28" s="22"/>
      <c r="F28" s="22"/>
      <c r="G28" s="22" t="s">
        <v>8</v>
      </c>
      <c r="H28" s="22" t="s">
        <v>7</v>
      </c>
      <c r="I28" s="22" t="s">
        <v>6</v>
      </c>
    </row>
    <row r="29" spans="1:9" ht="15" customHeight="1" thickBot="1" x14ac:dyDescent="0.3">
      <c r="A29" s="8" t="s">
        <v>40</v>
      </c>
      <c r="B29" s="10">
        <v>1890</v>
      </c>
      <c r="C29" s="8"/>
      <c r="D29" s="8"/>
      <c r="E29" s="8"/>
      <c r="F29" s="8"/>
      <c r="G29" s="8">
        <v>780</v>
      </c>
      <c r="I29" s="8">
        <v>43</v>
      </c>
    </row>
    <row r="30" spans="1:9" ht="13.8" thickTop="1" x14ac:dyDescent="0.25">
      <c r="A30" s="7" t="s">
        <v>41</v>
      </c>
      <c r="B30" s="22" t="s">
        <v>42</v>
      </c>
      <c r="C30" s="22" t="s">
        <v>43</v>
      </c>
      <c r="D30" s="22" t="s">
        <v>44</v>
      </c>
      <c r="E30" s="22" t="s">
        <v>58</v>
      </c>
      <c r="F30" s="22"/>
      <c r="G30" s="22" t="s">
        <v>8</v>
      </c>
      <c r="H30" s="22" t="s">
        <v>7</v>
      </c>
      <c r="I30" s="22" t="s">
        <v>6</v>
      </c>
    </row>
    <row r="31" spans="1:9" s="12" customFormat="1" ht="17.399999999999999" customHeight="1" x14ac:dyDescent="0.25">
      <c r="A31" s="6" t="s">
        <v>45</v>
      </c>
      <c r="B31" s="6">
        <v>664</v>
      </c>
      <c r="C31" s="6">
        <v>1000</v>
      </c>
      <c r="D31" s="6">
        <v>980</v>
      </c>
      <c r="E31" s="6">
        <v>777</v>
      </c>
      <c r="F31" s="6"/>
      <c r="G31" s="6">
        <v>596</v>
      </c>
      <c r="H31" s="6">
        <v>0</v>
      </c>
      <c r="I31" s="6">
        <v>1</v>
      </c>
    </row>
    <row r="32" spans="1:9" s="12" customFormat="1" ht="16.2" customHeight="1" x14ac:dyDescent="0.25">
      <c r="A32" s="6" t="s">
        <v>46</v>
      </c>
      <c r="B32" s="6">
        <v>1663</v>
      </c>
      <c r="C32" s="6">
        <v>2332</v>
      </c>
      <c r="D32" s="6">
        <v>2154</v>
      </c>
      <c r="E32" s="6">
        <v>2085</v>
      </c>
      <c r="F32" s="6"/>
      <c r="G32" s="6">
        <v>1452</v>
      </c>
      <c r="H32" s="6">
        <v>14</v>
      </c>
      <c r="I32" s="6">
        <v>5</v>
      </c>
    </row>
    <row r="33" spans="1:9" s="4" customFormat="1" ht="15.6" customHeight="1" thickBot="1" x14ac:dyDescent="0.3">
      <c r="A33" s="16" t="s">
        <v>20</v>
      </c>
      <c r="B33" s="26">
        <f>SUM(B31:B32)</f>
        <v>2327</v>
      </c>
      <c r="C33" s="26">
        <f>SUM(C31:C32)</f>
        <v>3332</v>
      </c>
      <c r="D33" s="26">
        <f>SUM(D31:D32)</f>
        <v>3134</v>
      </c>
      <c r="E33" s="26">
        <f>SUM(E31:E32)</f>
        <v>2862</v>
      </c>
      <c r="F33" s="26"/>
      <c r="G33" s="26">
        <f>SUM(G31:G32)</f>
        <v>2048</v>
      </c>
      <c r="H33" s="26">
        <f>SUM(H31:H32)</f>
        <v>14</v>
      </c>
      <c r="I33" s="26">
        <f>SUM(I31:I32)</f>
        <v>6</v>
      </c>
    </row>
    <row r="34" spans="1:9" ht="13.8" thickTop="1" x14ac:dyDescent="0.25">
      <c r="A34" s="7" t="s">
        <v>47</v>
      </c>
      <c r="B34" s="22" t="s">
        <v>48</v>
      </c>
      <c r="C34" s="22" t="s">
        <v>49</v>
      </c>
      <c r="D34" s="22"/>
      <c r="E34" s="27"/>
      <c r="F34" s="28"/>
      <c r="G34" s="22" t="s">
        <v>8</v>
      </c>
      <c r="H34" s="22" t="s">
        <v>7</v>
      </c>
      <c r="I34" s="22" t="s">
        <v>6</v>
      </c>
    </row>
    <row r="35" spans="1:9" ht="15" customHeight="1" x14ac:dyDescent="0.25">
      <c r="A35" s="1" t="s">
        <v>40</v>
      </c>
      <c r="B35" s="1">
        <v>939</v>
      </c>
      <c r="C35" s="1">
        <v>1600</v>
      </c>
      <c r="D35" s="1"/>
      <c r="E35" s="1"/>
      <c r="F35" s="1"/>
      <c r="G35" s="1">
        <v>173</v>
      </c>
      <c r="H35" s="1"/>
      <c r="I35" s="1">
        <v>1</v>
      </c>
    </row>
    <row r="36" spans="1:9" ht="15" customHeight="1" x14ac:dyDescent="0.25">
      <c r="A36" s="1" t="s">
        <v>45</v>
      </c>
      <c r="B36" s="1">
        <v>804</v>
      </c>
      <c r="C36" s="1">
        <v>1098</v>
      </c>
      <c r="D36" s="1"/>
      <c r="E36" s="1"/>
      <c r="F36" s="1"/>
      <c r="G36" s="1">
        <v>106</v>
      </c>
      <c r="H36" s="1">
        <v>0</v>
      </c>
      <c r="I36" s="1">
        <v>1</v>
      </c>
    </row>
    <row r="37" spans="1:9" ht="15" customHeight="1" x14ac:dyDescent="0.25">
      <c r="A37" s="1" t="s">
        <v>46</v>
      </c>
      <c r="B37" s="1">
        <v>2128</v>
      </c>
      <c r="C37" s="1">
        <v>2397</v>
      </c>
      <c r="D37" s="1"/>
      <c r="E37" s="1"/>
      <c r="F37" s="1"/>
      <c r="G37" s="1">
        <v>316</v>
      </c>
      <c r="H37" s="1">
        <v>5</v>
      </c>
      <c r="I37" s="1">
        <v>5</v>
      </c>
    </row>
    <row r="38" spans="1:9" ht="15" customHeight="1" thickBot="1" x14ac:dyDescent="0.3">
      <c r="A38" s="9" t="s">
        <v>20</v>
      </c>
      <c r="B38" s="10">
        <f>SUM(B35:B37)</f>
        <v>3871</v>
      </c>
      <c r="C38" s="10">
        <f>SUM(C35:C37)</f>
        <v>5095</v>
      </c>
      <c r="D38" s="10"/>
      <c r="E38" s="10"/>
      <c r="F38" s="10"/>
      <c r="G38" s="10">
        <f>SUM(G35:G37)</f>
        <v>595</v>
      </c>
      <c r="H38" s="10">
        <f>SUM(H35:H37)</f>
        <v>5</v>
      </c>
      <c r="I38" s="10">
        <f>SUM(I35:I37)</f>
        <v>7</v>
      </c>
    </row>
    <row r="39" spans="1:9" ht="28.95" customHeight="1" thickTop="1" x14ac:dyDescent="0.25">
      <c r="A39" s="7" t="s">
        <v>50</v>
      </c>
      <c r="B39" s="22" t="s">
        <v>51</v>
      </c>
      <c r="C39" s="22" t="s">
        <v>52</v>
      </c>
      <c r="D39" s="22" t="s">
        <v>53</v>
      </c>
      <c r="E39" s="22" t="s">
        <v>54</v>
      </c>
      <c r="F39" s="22"/>
      <c r="G39" s="22" t="s">
        <v>8</v>
      </c>
      <c r="H39" s="22" t="s">
        <v>7</v>
      </c>
      <c r="I39" s="22" t="s">
        <v>6</v>
      </c>
    </row>
    <row r="40" spans="1:9" ht="15" customHeight="1" x14ac:dyDescent="0.25">
      <c r="A40" s="1" t="s">
        <v>33</v>
      </c>
      <c r="B40" s="14">
        <v>199</v>
      </c>
      <c r="C40" s="14">
        <v>201</v>
      </c>
      <c r="D40" s="17">
        <v>297</v>
      </c>
      <c r="E40" s="1">
        <v>256</v>
      </c>
      <c r="F40" s="1"/>
      <c r="G40" s="1">
        <v>217</v>
      </c>
      <c r="H40" s="1">
        <v>2</v>
      </c>
      <c r="I40" s="1">
        <v>0</v>
      </c>
    </row>
    <row r="41" spans="1:9" ht="15" customHeight="1" x14ac:dyDescent="0.25">
      <c r="A41" s="1" t="s">
        <v>34</v>
      </c>
      <c r="B41" s="14">
        <v>24</v>
      </c>
      <c r="C41" s="14">
        <v>27</v>
      </c>
      <c r="D41" s="17">
        <v>14</v>
      </c>
      <c r="E41" s="1">
        <v>10</v>
      </c>
      <c r="F41" s="1"/>
      <c r="G41" s="1">
        <v>115</v>
      </c>
      <c r="H41" s="1">
        <v>0</v>
      </c>
      <c r="I41" s="1">
        <v>0</v>
      </c>
    </row>
    <row r="42" spans="1:9" ht="15" customHeight="1" x14ac:dyDescent="0.25">
      <c r="A42" s="1" t="s">
        <v>35</v>
      </c>
      <c r="B42" s="14">
        <v>276</v>
      </c>
      <c r="C42" s="14">
        <v>326</v>
      </c>
      <c r="D42" s="17">
        <v>508</v>
      </c>
      <c r="E42" s="1">
        <v>528</v>
      </c>
      <c r="F42" s="1"/>
      <c r="G42" s="1">
        <v>394</v>
      </c>
      <c r="H42" s="1">
        <v>2</v>
      </c>
      <c r="I42" s="1">
        <v>0</v>
      </c>
    </row>
    <row r="43" spans="1:9" ht="15" customHeight="1" x14ac:dyDescent="0.25">
      <c r="A43" s="1" t="s">
        <v>36</v>
      </c>
      <c r="B43" s="14">
        <v>404</v>
      </c>
      <c r="C43" s="14">
        <v>422</v>
      </c>
      <c r="D43" s="17">
        <v>565</v>
      </c>
      <c r="E43" s="1">
        <v>573</v>
      </c>
      <c r="F43" s="1"/>
      <c r="G43" s="1">
        <v>434</v>
      </c>
      <c r="H43" s="1">
        <v>4</v>
      </c>
      <c r="I43" s="1">
        <v>0</v>
      </c>
    </row>
    <row r="44" spans="1:9" ht="15" customHeight="1" x14ac:dyDescent="0.25">
      <c r="A44" s="1" t="s">
        <v>26</v>
      </c>
      <c r="B44" s="14">
        <v>785</v>
      </c>
      <c r="C44" s="14">
        <v>823</v>
      </c>
      <c r="D44" s="17">
        <v>772</v>
      </c>
      <c r="E44" s="1">
        <v>730</v>
      </c>
      <c r="F44" s="1"/>
      <c r="G44" s="1">
        <v>460</v>
      </c>
      <c r="H44" s="1">
        <v>0</v>
      </c>
      <c r="I44" s="1">
        <v>2</v>
      </c>
    </row>
    <row r="45" spans="1:9" ht="15" customHeight="1" x14ac:dyDescent="0.25">
      <c r="A45" s="1" t="s">
        <v>27</v>
      </c>
      <c r="B45" s="14">
        <v>1294</v>
      </c>
      <c r="C45" s="14">
        <v>1281</v>
      </c>
      <c r="D45" s="17">
        <v>2197</v>
      </c>
      <c r="E45" s="1">
        <v>1985</v>
      </c>
      <c r="F45" s="1"/>
      <c r="G45" s="1">
        <v>1092</v>
      </c>
      <c r="H45" s="1">
        <v>0</v>
      </c>
      <c r="I45" s="1">
        <v>1</v>
      </c>
    </row>
    <row r="46" spans="1:9" ht="15" customHeight="1" x14ac:dyDescent="0.25">
      <c r="A46" s="1" t="s">
        <v>28</v>
      </c>
      <c r="B46" s="14">
        <v>782</v>
      </c>
      <c r="C46" s="14">
        <v>799</v>
      </c>
      <c r="D46" s="17">
        <v>816</v>
      </c>
      <c r="E46" s="1">
        <v>744</v>
      </c>
      <c r="F46" s="1"/>
      <c r="G46" s="1">
        <v>562</v>
      </c>
      <c r="H46" s="1">
        <v>0</v>
      </c>
      <c r="I46" s="1">
        <v>2</v>
      </c>
    </row>
    <row r="47" spans="1:9" ht="15" customHeight="1" x14ac:dyDescent="0.25">
      <c r="A47" s="1" t="s">
        <v>37</v>
      </c>
      <c r="B47" s="18">
        <v>1006</v>
      </c>
      <c r="C47" s="18">
        <v>944</v>
      </c>
      <c r="D47" s="19">
        <v>1968</v>
      </c>
      <c r="E47" s="1">
        <v>1729</v>
      </c>
      <c r="F47" s="1"/>
      <c r="G47" s="1">
        <v>1464</v>
      </c>
      <c r="H47" s="1">
        <v>0</v>
      </c>
      <c r="I47" s="1">
        <v>1</v>
      </c>
    </row>
    <row r="48" spans="1:9" ht="15" customHeight="1" thickBot="1" x14ac:dyDescent="0.3">
      <c r="A48" s="9" t="s">
        <v>20</v>
      </c>
      <c r="B48" s="10">
        <f t="shared" ref="B48:H48" si="1">SUM(B40:B47)</f>
        <v>4770</v>
      </c>
      <c r="C48" s="10">
        <f t="shared" si="1"/>
        <v>4823</v>
      </c>
      <c r="D48" s="10">
        <f t="shared" si="1"/>
        <v>7137</v>
      </c>
      <c r="E48" s="10">
        <f t="shared" si="1"/>
        <v>6555</v>
      </c>
      <c r="F48" s="10"/>
      <c r="G48" s="10">
        <f t="shared" si="1"/>
        <v>4738</v>
      </c>
      <c r="H48" s="26">
        <f t="shared" si="1"/>
        <v>8</v>
      </c>
      <c r="I48" s="26">
        <f>SUM(I40:I47)</f>
        <v>6</v>
      </c>
    </row>
    <row r="49" spans="1:8" ht="13.8" thickTop="1" x14ac:dyDescent="0.25">
      <c r="A49" s="11"/>
      <c r="B49" s="11"/>
      <c r="C49" s="11"/>
      <c r="D49" s="11"/>
      <c r="E49" s="11"/>
      <c r="F49" s="11"/>
      <c r="G49" s="11"/>
      <c r="H49" s="11"/>
    </row>
  </sheetData>
  <mergeCells count="2">
    <mergeCell ref="A1:I1"/>
    <mergeCell ref="A2:I2"/>
  </mergeCells>
  <phoneticPr fontId="8" type="noConversion"/>
  <pageMargins left="0.45" right="0.45" top="0.5" bottom="0" header="0.3" footer="0.3"/>
  <pageSetup orientation="landscape" r:id="rId1"/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dcarrollrep</vt:lpstr>
      <vt:lpstr>dcarrollrep!Print_Area</vt:lpstr>
      <vt:lpstr>dcarrollrep!Print_Titles</vt:lpstr>
    </vt:vector>
  </TitlesOfParts>
  <Manager/>
  <Company>State of NH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Ladd</dc:creator>
  <cp:keywords/>
  <dc:description/>
  <cp:lastModifiedBy>Kaley Dion</cp:lastModifiedBy>
  <cp:revision/>
  <cp:lastPrinted>2024-11-06T21:53:27Z</cp:lastPrinted>
  <dcterms:created xsi:type="dcterms:W3CDTF">2002-09-04T18:18:08Z</dcterms:created>
  <dcterms:modified xsi:type="dcterms:W3CDTF">2024-11-08T19:01:29Z</dcterms:modified>
  <cp:category/>
  <cp:contentStatus/>
</cp:coreProperties>
</file>