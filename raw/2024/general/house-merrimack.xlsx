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8500FE3A-C1C3-426C-8D81-EF333B2D5E55}" xr6:coauthVersionLast="47" xr6:coauthVersionMax="47" xr10:uidLastSave="{00000000-0000-0000-0000-000000000000}"/>
  <bookViews>
    <workbookView xWindow="22932" yWindow="-108" windowWidth="23256" windowHeight="12576" xr2:uid="{EBE94522-375A-4572-91AE-81B86D92906B}"/>
  </bookViews>
  <sheets>
    <sheet name="rmerrimackrep" sheetId="7" r:id="rId1"/>
  </sheets>
  <definedNames>
    <definedName name="_xlnm.Print_Area" localSheetId="0">rmerrimackrep!$A$1:$L$116</definedName>
    <definedName name="_xlnm.Print_Titles" localSheetId="0">rmerrimackrep!$1:$2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7" l="1"/>
  <c r="K116" i="7"/>
  <c r="J116" i="7"/>
  <c r="K110" i="7"/>
  <c r="J110" i="7"/>
  <c r="K105" i="7"/>
  <c r="J105" i="7"/>
  <c r="K100" i="7"/>
  <c r="J100" i="7"/>
  <c r="K94" i="7"/>
  <c r="J94" i="7"/>
  <c r="K84" i="7"/>
  <c r="J84" i="7"/>
  <c r="K56" i="7"/>
  <c r="J56" i="7"/>
  <c r="K48" i="7"/>
  <c r="J48" i="7"/>
  <c r="K40" i="7"/>
  <c r="J40" i="7"/>
  <c r="K36" i="7"/>
  <c r="J36" i="7"/>
  <c r="K31" i="7"/>
  <c r="J31" i="7"/>
  <c r="K27" i="7"/>
  <c r="J27" i="7"/>
  <c r="K23" i="7"/>
  <c r="J23" i="7"/>
  <c r="L23" i="7"/>
  <c r="K16" i="7"/>
  <c r="J16" i="7"/>
  <c r="K12" i="7"/>
  <c r="J12" i="7"/>
  <c r="L116" i="7"/>
  <c r="C116" i="7"/>
  <c r="L110" i="7"/>
  <c r="C110" i="7"/>
  <c r="L105" i="7"/>
  <c r="C105" i="7"/>
  <c r="L100" i="7"/>
  <c r="E100" i="7"/>
  <c r="L94" i="7"/>
  <c r="C94" i="7"/>
  <c r="L84" i="7"/>
  <c r="C84" i="7"/>
  <c r="L56" i="7"/>
  <c r="F56" i="7"/>
  <c r="E56" i="7"/>
  <c r="L48" i="7"/>
  <c r="I48" i="7"/>
  <c r="H48" i="7"/>
  <c r="G48" i="7"/>
  <c r="L40" i="7"/>
  <c r="L36" i="7"/>
  <c r="G36" i="7"/>
  <c r="F36" i="7"/>
  <c r="E36" i="7"/>
  <c r="L31" i="7"/>
  <c r="E31" i="7"/>
  <c r="D31" i="7"/>
  <c r="L27" i="7"/>
  <c r="C27" i="7"/>
  <c r="E23" i="7"/>
  <c r="D23" i="7"/>
  <c r="L16" i="7"/>
  <c r="E16" i="7"/>
  <c r="D16" i="7"/>
  <c r="L12" i="7"/>
  <c r="E12" i="7"/>
  <c r="D12" i="7"/>
  <c r="E44" i="7"/>
  <c r="D44" i="7"/>
  <c r="C44" i="7"/>
  <c r="B44" i="7"/>
  <c r="B48" i="7"/>
  <c r="C48" i="7"/>
  <c r="D48" i="7"/>
  <c r="E48" i="7"/>
  <c r="F48" i="7"/>
  <c r="B116" i="7"/>
  <c r="B110" i="7"/>
  <c r="B105" i="7"/>
  <c r="B100" i="7"/>
  <c r="D100" i="7"/>
  <c r="B94" i="7"/>
  <c r="B84" i="7"/>
  <c r="B56" i="7"/>
  <c r="C56" i="7"/>
  <c r="D56" i="7"/>
  <c r="B40" i="7"/>
  <c r="C40" i="7"/>
  <c r="D40" i="7"/>
  <c r="E40" i="7"/>
  <c r="B36" i="7"/>
  <c r="C36" i="7"/>
  <c r="D36" i="7"/>
  <c r="B31" i="7"/>
  <c r="C31" i="7"/>
  <c r="B27" i="7"/>
  <c r="B23" i="7"/>
  <c r="C23" i="7"/>
  <c r="B16" i="7"/>
  <c r="C16" i="7"/>
  <c r="B12" i="7"/>
  <c r="C12" i="7"/>
</calcChain>
</file>

<file path=xl/sharedStrings.xml><?xml version="1.0" encoding="utf-8"?>
<sst xmlns="http://schemas.openxmlformats.org/spreadsheetml/2006/main" count="292" uniqueCount="162">
  <si>
    <t>District No. 1 (1)</t>
  </si>
  <si>
    <t>Lorrie J. Carey, d</t>
  </si>
  <si>
    <t>Rick Devoid, r</t>
  </si>
  <si>
    <t>Write-Ins</t>
  </si>
  <si>
    <t>Overvotes</t>
  </si>
  <si>
    <t>Undervotes</t>
  </si>
  <si>
    <t>Boscawen</t>
  </si>
  <si>
    <t>District No. 2 (1)</t>
  </si>
  <si>
    <t>Greg Hill, r</t>
  </si>
  <si>
    <t>Northfield</t>
  </si>
  <si>
    <t>District No. 3 (2)</t>
  </si>
  <si>
    <t>Scott A. Burns, d</t>
  </si>
  <si>
    <t>Justine Hoppe, d</t>
  </si>
  <si>
    <t>Ernesto L. Gonzalez, r</t>
  </si>
  <si>
    <t>Bryan Morse, r</t>
  </si>
  <si>
    <t>Franklin Ward 1</t>
  </si>
  <si>
    <t>Franklin Ward 2</t>
  </si>
  <si>
    <t>Franklin Ward 3</t>
  </si>
  <si>
    <t>Totals</t>
  </si>
  <si>
    <t>District No. 4 (2)</t>
  </si>
  <si>
    <t>Edward R. Friedrich, d</t>
  </si>
  <si>
    <t>Ruth Heath, d</t>
  </si>
  <si>
    <t>Jose E. Cambrils, r</t>
  </si>
  <si>
    <t>Michael Moffett, r</t>
  </si>
  <si>
    <t>Canterbury</t>
  </si>
  <si>
    <t>Loudon</t>
  </si>
  <si>
    <t>District No. 5 (2)</t>
  </si>
  <si>
    <t>Lorna Carlisle, d</t>
  </si>
  <si>
    <t>David A. Nesbitt, d</t>
  </si>
  <si>
    <t>Louise Andrus, r</t>
  </si>
  <si>
    <t>Deborah Aylward, r</t>
  </si>
  <si>
    <t>Andover</t>
  </si>
  <si>
    <t>Danbury</t>
  </si>
  <si>
    <t>Hill</t>
  </si>
  <si>
    <t>Salisbury</t>
  </si>
  <si>
    <t>Webster</t>
  </si>
  <si>
    <t>District No. 6 (1)</t>
  </si>
  <si>
    <t>Tom Schamberg, d</t>
  </si>
  <si>
    <t>Victor Prieto, r</t>
  </si>
  <si>
    <t>Sutton</t>
  </si>
  <si>
    <t>Wilmot</t>
  </si>
  <si>
    <t>District No. 7 (2)</t>
  </si>
  <si>
    <t>Karen E. Ebel, d</t>
  </si>
  <si>
    <t>Gregory M. Sargent, d</t>
  </si>
  <si>
    <t>Dorothy L. Hitchmoth, r</t>
  </si>
  <si>
    <t>Claire A. Ketteler, r</t>
  </si>
  <si>
    <t>New London</t>
  </si>
  <si>
    <t>Newbury</t>
  </si>
  <si>
    <t>District No. 8 (3)</t>
  </si>
  <si>
    <t>Tony Caplan, d</t>
  </si>
  <si>
    <t>Eileen Kelly, d</t>
  </si>
  <si>
    <t>Stephanie Payeur, d</t>
  </si>
  <si>
    <t>Sherry L. Gould, r</t>
  </si>
  <si>
    <t>James Bass Parker, r</t>
  </si>
  <si>
    <t>Natalie Wells, r</t>
  </si>
  <si>
    <t>Bradford</t>
  </si>
  <si>
    <t>Henniker</t>
  </si>
  <si>
    <t>Warner</t>
  </si>
  <si>
    <t>District No. 9 (4)</t>
  </si>
  <si>
    <t>Eleana Marie Colby, d</t>
  </si>
  <si>
    <t>Muriel Hall, d</t>
  </si>
  <si>
    <t>David Luneau, d</t>
  </si>
  <si>
    <t>James Newsom, d</t>
  </si>
  <si>
    <t>Bow</t>
  </si>
  <si>
    <t>Hopkinton</t>
  </si>
  <si>
    <t>David Germain, r</t>
  </si>
  <si>
    <t>Darlene Gildersleeve, r</t>
  </si>
  <si>
    <t>John F. Martin, r</t>
  </si>
  <si>
    <t>Matthew Poulin, r</t>
  </si>
  <si>
    <t>District No. 10 (4)</t>
  </si>
  <si>
    <t>Madalasa Gurung, d</t>
  </si>
  <si>
    <t>William P. Lynch, d</t>
  </si>
  <si>
    <t>Germano Martins, d</t>
  </si>
  <si>
    <t>Robert A. Ray, d</t>
  </si>
  <si>
    <t>Stephen E. Boyd, r</t>
  </si>
  <si>
    <t>John A Leavitt, r</t>
  </si>
  <si>
    <t>Yury Polozov, r</t>
  </si>
  <si>
    <t>Thomas C. Walsh, r</t>
  </si>
  <si>
    <t>Dunbarton</t>
  </si>
  <si>
    <t>Hooksett</t>
  </si>
  <si>
    <t>District No. 11 (1)</t>
  </si>
  <si>
    <t>Al Turcotte, d</t>
  </si>
  <si>
    <t>Matthew Pitaro, r</t>
  </si>
  <si>
    <t>Allenstown</t>
  </si>
  <si>
    <t>District No. 12 (2)</t>
  </si>
  <si>
    <t>Maurice Regan, d</t>
  </si>
  <si>
    <t>Dianne E. Schuett, d</t>
  </si>
  <si>
    <t>Peter L. Mehegan, r</t>
  </si>
  <si>
    <t>Brian Seaworth, r</t>
  </si>
  <si>
    <t>Pembroke</t>
  </si>
  <si>
    <t>District No. 13 (2)</t>
  </si>
  <si>
    <t>Sally Kelly, d</t>
  </si>
  <si>
    <t>Dan Schroth, d</t>
  </si>
  <si>
    <t>Cyril Aures, r</t>
  </si>
  <si>
    <t>Clayton Wood, r</t>
  </si>
  <si>
    <t>Chichester</t>
  </si>
  <si>
    <t>Pittsfield</t>
  </si>
  <si>
    <t>District No. 14 (1)</t>
  </si>
  <si>
    <t>Dan McGuire, r</t>
  </si>
  <si>
    <t>Epsom</t>
  </si>
  <si>
    <t>District No. 15 (1)</t>
  </si>
  <si>
    <t>Tracy Anne Bricchi, d</t>
  </si>
  <si>
    <t>Concord Ward 1</t>
  </si>
  <si>
    <t>District No. 16 (1)</t>
  </si>
  <si>
    <t>Connie Lane, d</t>
  </si>
  <si>
    <t>Laurence R. Weissbrot, r</t>
  </si>
  <si>
    <t>Concord Ward 2</t>
  </si>
  <si>
    <t>District No. 17 (1)</t>
  </si>
  <si>
    <t>Beth Richards, d</t>
  </si>
  <si>
    <t>Diana Freeman, r</t>
  </si>
  <si>
    <t>Concord Ward 3</t>
  </si>
  <si>
    <t>District No. 18 (1)</t>
  </si>
  <si>
    <t>Jim MacKay, d</t>
  </si>
  <si>
    <t>Kristen Jackson, r</t>
  </si>
  <si>
    <t>Concord Ward 4</t>
  </si>
  <si>
    <t>District No. 19 (1)</t>
  </si>
  <si>
    <t>Mary Jane Wallner, d</t>
  </si>
  <si>
    <t>Concord Ward 5</t>
  </si>
  <si>
    <t>District No. 20 (1)</t>
  </si>
  <si>
    <t>Eric Gallager, d</t>
  </si>
  <si>
    <t>Concord Ward 6</t>
  </si>
  <si>
    <t>District No. 21 (1)</t>
  </si>
  <si>
    <t>Timothy Soucy, d</t>
  </si>
  <si>
    <t>Robert G. Bertrand, r</t>
  </si>
  <si>
    <t>Concord Ward 7</t>
  </si>
  <si>
    <t>District No. 22 (1)</t>
  </si>
  <si>
    <t>James Leon Roesener, d</t>
  </si>
  <si>
    <t>Dennis Blankenbeker, r</t>
  </si>
  <si>
    <t>Concord Ward 8</t>
  </si>
  <si>
    <t>District No. 23 (1)</t>
  </si>
  <si>
    <t>Merryl Gibbs, d</t>
  </si>
  <si>
    <t>Andrew Georgevits, r</t>
  </si>
  <si>
    <t>Concord Ward 9</t>
  </si>
  <si>
    <t>District No. 24 (1)</t>
  </si>
  <si>
    <t>Matthew S. Hicks, d</t>
  </si>
  <si>
    <t>Thom Bloomquist, r</t>
  </si>
  <si>
    <t>Concord Ward 10</t>
  </si>
  <si>
    <t>District No. 25 (1)FL</t>
  </si>
  <si>
    <t>Joyce May Fulweiler, d</t>
  </si>
  <si>
    <t>James Thibault, r</t>
  </si>
  <si>
    <t>District No. 26 (1)FL</t>
  </si>
  <si>
    <t>Mason Donovan, d</t>
  </si>
  <si>
    <t>Alvin B. See, r</t>
  </si>
  <si>
    <t>District No. 27 (2)FL</t>
  </si>
  <si>
    <t>Phillip James Walker, d</t>
  </si>
  <si>
    <t>Carol McGuire, r</t>
  </si>
  <si>
    <t>Ray Plante, r</t>
  </si>
  <si>
    <t>District No. 28 (1)FL</t>
  </si>
  <si>
    <t>Jim Snodgrass, d</t>
  </si>
  <si>
    <t>Brian Blackden, r</t>
  </si>
  <si>
    <t>District No. 29 (1)FL</t>
  </si>
  <si>
    <t>Kris Schultz, d</t>
  </si>
  <si>
    <t>Claude Lompufu Bongambe, r</t>
  </si>
  <si>
    <t>District No. 30 (1) FL</t>
  </si>
  <si>
    <t>Gary L. Woods, d</t>
  </si>
  <si>
    <t>Robert C. Washburn Sr., r</t>
  </si>
  <si>
    <t xml:space="preserve"> </t>
  </si>
  <si>
    <t>State of New Hampshire - 2024 General Election</t>
  </si>
  <si>
    <t>James C. Allard, i</t>
  </si>
  <si>
    <t>Kathleen Martins, d</t>
  </si>
  <si>
    <t>WRITE-IN   Kathy DesRoches</t>
  </si>
  <si>
    <t xml:space="preserve">State Representative - MERRIMACK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</si>
</sst>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indexed="10"/>
      <name val="Times New Roman"/>
      <family val="1"/>
    </font>
    <font>
      <b/>
      <sz val="10"/>
      <name val="Times"/>
      <family val="1"/>
    </font>
    <font>
      <b/>
      <sz val="10"/>
      <color rgb="FF0070C0"/>
      <name val="Times"/>
      <family val="1"/>
    </font>
    <font>
      <b/>
      <sz val="10"/>
      <name val="Times"/>
    </font>
    <font>
      <b/>
      <sz val="10"/>
      <name val="Arial"/>
      <family val="2"/>
    </font>
    <font>
      <sz val="10"/>
      <color rgb="FF0070C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</cellStyleXfs>
  <cellXfs count="48">
    <xf numFmtId="0" fontId="0" fillId="0" borderId="0" xfId="0"/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5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0" borderId="1" xfId="0" applyFont="1" applyBorder="1" applyAlignment="1">
      <alignment horizontal="right" wrapText="1"/>
    </xf>
    <xf numFmtId="164" fontId="5" fillId="0" borderId="1" xfId="1" applyNumberFormat="1" applyFont="1" applyBorder="1" applyAlignment="1">
      <alignment horizontal="right" wrapText="1"/>
    </xf>
    <xf numFmtId="164" fontId="5" fillId="0" borderId="1" xfId="1" applyNumberFormat="1" applyFont="1" applyBorder="1" applyAlignment="1">
      <alignment wrapText="1"/>
    </xf>
    <xf numFmtId="164" fontId="5" fillId="2" borderId="1" xfId="1" applyNumberFormat="1" applyFont="1" applyFill="1" applyBorder="1" applyAlignment="1">
      <alignment wrapText="1"/>
    </xf>
    <xf numFmtId="164" fontId="6" fillId="0" borderId="1" xfId="1" applyNumberFormat="1" applyFont="1" applyBorder="1" applyAlignment="1">
      <alignment horizontal="right" wrapText="1"/>
    </xf>
    <xf numFmtId="0" fontId="5" fillId="0" borderId="8" xfId="0" applyFont="1" applyBorder="1" applyAlignment="1">
      <alignment wrapText="1"/>
    </xf>
    <xf numFmtId="165" fontId="10" fillId="0" borderId="7" xfId="0" applyNumberFormat="1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14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12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</cellXfs>
  <cellStyles count="8">
    <cellStyle name="Comma" xfId="1" builtinId="3"/>
    <cellStyle name="Normal" xfId="0" builtinId="0"/>
    <cellStyle name="Normal 2 2" xfId="2" xr:uid="{8873CF20-698F-43B8-BD46-6B5724D2D8B8}"/>
    <cellStyle name="Normal 2 2 2" xfId="3" xr:uid="{B21CFB33-DE2E-4AA2-88D5-B198F760958D}"/>
    <cellStyle name="Normal 2 3" xfId="4" xr:uid="{D70445B5-9B35-435C-8CB9-D5E086F5061B}"/>
    <cellStyle name="Normal 2 3 2" xfId="5" xr:uid="{320E63A1-60DA-416B-B72D-BCBB47E4BEEF}"/>
    <cellStyle name="Normal 2 4" xfId="6" xr:uid="{8ADCAB0F-36D8-4335-8F8B-7D9916FBD7F3}"/>
    <cellStyle name="Normal 3 2" xfId="7" xr:uid="{62C9FBCC-2338-4543-B97E-E11F7BBBA5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56</xdr:row>
      <xdr:rowOff>0</xdr:rowOff>
    </xdr:from>
    <xdr:to>
      <xdr:col>0</xdr:col>
      <xdr:colOff>886727</xdr:colOff>
      <xdr:row>56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B7EF40F2-C349-2E6B-3E7F-8A3F7AB7EFE2}"/>
            </a:ext>
          </a:extLst>
        </xdr:cNvPr>
        <xdr:cNvSpPr txBox="1">
          <a:spLocks noChangeArrowheads="1"/>
        </xdr:cNvSpPr>
      </xdr:nvSpPr>
      <xdr:spPr bwMode="auto">
        <a:xfrm>
          <a:off x="47625" y="16973550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Republican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56</xdr:row>
      <xdr:rowOff>0</xdr:rowOff>
    </xdr:from>
    <xdr:to>
      <xdr:col>0</xdr:col>
      <xdr:colOff>886727</xdr:colOff>
      <xdr:row>56</xdr:row>
      <xdr:rowOff>0</xdr:rowOff>
    </xdr:to>
    <xdr:sp macro="" textlink="">
      <xdr:nvSpPr>
        <xdr:cNvPr id="7176" name="Text Box 8">
          <a:extLst>
            <a:ext uri="{FF2B5EF4-FFF2-40B4-BE49-F238E27FC236}">
              <a16:creationId xmlns:a16="http://schemas.microsoft.com/office/drawing/2014/main" id="{83D81BF6-F1AC-E4CD-A86E-7A5937564BB3}"/>
            </a:ext>
          </a:extLst>
        </xdr:cNvPr>
        <xdr:cNvSpPr txBox="1">
          <a:spLocks noChangeArrowheads="1"/>
        </xdr:cNvSpPr>
      </xdr:nvSpPr>
      <xdr:spPr bwMode="auto">
        <a:xfrm>
          <a:off x="47625" y="16973550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Republican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62</xdr:row>
      <xdr:rowOff>0</xdr:rowOff>
    </xdr:from>
    <xdr:to>
      <xdr:col>0</xdr:col>
      <xdr:colOff>886727</xdr:colOff>
      <xdr:row>62</xdr:row>
      <xdr:rowOff>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208E7D8F-DE44-894D-66C6-5DCD07A0957C}"/>
            </a:ext>
          </a:extLst>
        </xdr:cNvPr>
        <xdr:cNvSpPr txBox="1">
          <a:spLocks noChangeArrowheads="1"/>
        </xdr:cNvSpPr>
      </xdr:nvSpPr>
      <xdr:spPr bwMode="auto">
        <a:xfrm>
          <a:off x="47625" y="10012680"/>
          <a:ext cx="86286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Republican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47625</xdr:colOff>
      <xdr:row>62</xdr:row>
      <xdr:rowOff>0</xdr:rowOff>
    </xdr:from>
    <xdr:to>
      <xdr:col>0</xdr:col>
      <xdr:colOff>886727</xdr:colOff>
      <xdr:row>62</xdr:row>
      <xdr:rowOff>0</xdr:rowOff>
    </xdr:to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DAA5DB36-8452-8E29-7763-8AC1F592DEFF}"/>
            </a:ext>
          </a:extLst>
        </xdr:cNvPr>
        <xdr:cNvSpPr txBox="1">
          <a:spLocks noChangeArrowheads="1"/>
        </xdr:cNvSpPr>
      </xdr:nvSpPr>
      <xdr:spPr bwMode="auto">
        <a:xfrm>
          <a:off x="47625" y="10012680"/>
          <a:ext cx="86286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Republican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4BE9-72A2-440C-9B1E-852B41257878}">
  <sheetPr>
    <tabColor rgb="FF00B050"/>
  </sheetPr>
  <dimension ref="A1:L117"/>
  <sheetViews>
    <sheetView tabSelected="1" zoomScale="140" zoomScaleNormal="140" workbookViewId="0">
      <selection activeCell="A2" sqref="A2:L2"/>
    </sheetView>
  </sheetViews>
  <sheetFormatPr defaultColWidth="11.33203125" defaultRowHeight="13.2" x14ac:dyDescent="0.25"/>
  <cols>
    <col min="1" max="1" width="19.6640625" style="3" customWidth="1"/>
    <col min="2" max="2" width="9.6640625" style="3" customWidth="1"/>
    <col min="3" max="3" width="11.109375" style="3" customWidth="1"/>
    <col min="4" max="4" width="10.33203125" style="3" customWidth="1"/>
    <col min="5" max="5" width="10.6640625" style="3" customWidth="1"/>
    <col min="6" max="6" width="11" style="3" customWidth="1"/>
    <col min="7" max="7" width="11.33203125" style="3"/>
    <col min="8" max="8" width="10.44140625" style="3" customWidth="1"/>
    <col min="9" max="9" width="8" style="3" bestFit="1" customWidth="1"/>
    <col min="10" max="10" width="8.6640625" style="3" customWidth="1"/>
    <col min="11" max="11" width="8.5546875" style="3" bestFit="1" customWidth="1"/>
    <col min="12" max="12" width="9.33203125" style="3" bestFit="1" customWidth="1"/>
    <col min="13" max="16384" width="11.33203125" style="3"/>
  </cols>
  <sheetData>
    <row r="1" spans="1:12" x14ac:dyDescent="0.25">
      <c r="A1" s="45" t="s">
        <v>157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spans="1:12" ht="17.25" customHeight="1" x14ac:dyDescent="0.25">
      <c r="A2" s="41" t="s">
        <v>161</v>
      </c>
      <c r="B2" s="42"/>
      <c r="C2" s="42"/>
      <c r="D2" s="42"/>
      <c r="E2" s="42"/>
      <c r="F2" s="42"/>
      <c r="G2" s="42"/>
      <c r="H2" s="42"/>
      <c r="I2" s="42"/>
      <c r="J2" s="43"/>
      <c r="K2" s="43"/>
      <c r="L2" s="44"/>
    </row>
    <row r="3" spans="1:12" ht="17.25" customHeight="1" thickBot="1" x14ac:dyDescent="0.3">
      <c r="A3" s="30">
        <v>45601</v>
      </c>
      <c r="B3" s="34"/>
      <c r="C3" s="34"/>
      <c r="D3" s="34"/>
      <c r="E3" s="34"/>
      <c r="F3" s="34"/>
      <c r="G3" s="34"/>
      <c r="H3" s="34"/>
      <c r="I3" s="34"/>
      <c r="J3" s="29"/>
    </row>
    <row r="4" spans="1:12" s="5" customFormat="1" ht="24.6" thickTop="1" x14ac:dyDescent="0.25">
      <c r="A4" s="10" t="s">
        <v>0</v>
      </c>
      <c r="B4" s="11" t="s">
        <v>1</v>
      </c>
      <c r="C4" s="11" t="s">
        <v>2</v>
      </c>
      <c r="D4" s="11"/>
      <c r="E4" s="11"/>
      <c r="F4" s="11"/>
      <c r="G4" s="11"/>
      <c r="H4" s="11"/>
      <c r="I4" s="11"/>
      <c r="J4" s="11" t="s">
        <v>5</v>
      </c>
      <c r="K4" s="11" t="s">
        <v>4</v>
      </c>
      <c r="L4" s="11" t="s">
        <v>3</v>
      </c>
    </row>
    <row r="5" spans="1:12" ht="13.8" thickBot="1" x14ac:dyDescent="0.3">
      <c r="A5" s="13" t="s">
        <v>6</v>
      </c>
      <c r="B5" s="13">
        <v>956</v>
      </c>
      <c r="C5" s="13">
        <v>1095</v>
      </c>
      <c r="D5" s="13"/>
      <c r="E5" s="13"/>
      <c r="F5" s="13"/>
      <c r="G5" s="13"/>
      <c r="H5" s="13"/>
      <c r="I5" s="13"/>
      <c r="J5" s="9">
        <v>137</v>
      </c>
      <c r="K5" s="13">
        <v>1</v>
      </c>
      <c r="L5" s="13">
        <v>0</v>
      </c>
    </row>
    <row r="6" spans="1:12" s="5" customFormat="1" ht="13.8" thickTop="1" x14ac:dyDescent="0.25">
      <c r="A6" s="10" t="s">
        <v>7</v>
      </c>
      <c r="B6" s="11" t="s">
        <v>8</v>
      </c>
      <c r="C6" s="11"/>
      <c r="D6" s="11"/>
      <c r="E6" s="11"/>
      <c r="F6" s="11"/>
      <c r="G6" s="11"/>
      <c r="H6" s="11"/>
      <c r="I6" s="19"/>
      <c r="J6" s="11" t="s">
        <v>5</v>
      </c>
      <c r="K6" s="11" t="s">
        <v>4</v>
      </c>
      <c r="L6" s="11" t="s">
        <v>3</v>
      </c>
    </row>
    <row r="7" spans="1:12" ht="13.8" thickBot="1" x14ac:dyDescent="0.3">
      <c r="A7" s="13" t="s">
        <v>9</v>
      </c>
      <c r="B7" s="13">
        <v>1901</v>
      </c>
      <c r="C7" s="13"/>
      <c r="D7" s="13"/>
      <c r="E7" s="13"/>
      <c r="F7" s="13"/>
      <c r="G7" s="13"/>
      <c r="H7" s="13"/>
      <c r="I7" s="13"/>
      <c r="J7" s="9">
        <v>877</v>
      </c>
      <c r="K7" s="13">
        <v>0</v>
      </c>
      <c r="L7" s="13">
        <v>24</v>
      </c>
    </row>
    <row r="8" spans="1:12" s="5" customFormat="1" ht="27" thickTop="1" x14ac:dyDescent="0.25">
      <c r="A8" s="10" t="s">
        <v>10</v>
      </c>
      <c r="B8" s="11" t="s">
        <v>11</v>
      </c>
      <c r="C8" s="11" t="s">
        <v>12</v>
      </c>
      <c r="D8" s="11" t="s">
        <v>13</v>
      </c>
      <c r="E8" s="14" t="s">
        <v>14</v>
      </c>
      <c r="F8" s="14"/>
      <c r="G8" s="11"/>
      <c r="H8" s="14"/>
      <c r="I8" s="19"/>
      <c r="J8" s="11" t="s">
        <v>5</v>
      </c>
      <c r="K8" s="11" t="s">
        <v>4</v>
      </c>
      <c r="L8" s="11" t="s">
        <v>3</v>
      </c>
    </row>
    <row r="9" spans="1:12" x14ac:dyDescent="0.25">
      <c r="A9" s="2" t="s">
        <v>15</v>
      </c>
      <c r="B9" s="2">
        <v>558</v>
      </c>
      <c r="C9" s="2">
        <v>441</v>
      </c>
      <c r="D9" s="2">
        <v>709</v>
      </c>
      <c r="E9" s="2">
        <v>778</v>
      </c>
      <c r="F9" s="2"/>
      <c r="G9" s="2"/>
      <c r="H9" s="2"/>
      <c r="I9" s="2"/>
      <c r="J9" s="9">
        <v>543</v>
      </c>
      <c r="K9" s="13">
        <v>1</v>
      </c>
      <c r="L9" s="13">
        <v>1</v>
      </c>
    </row>
    <row r="10" spans="1:12" x14ac:dyDescent="0.25">
      <c r="A10" s="2" t="s">
        <v>16</v>
      </c>
      <c r="B10" s="2">
        <v>579</v>
      </c>
      <c r="C10" s="2">
        <v>519</v>
      </c>
      <c r="D10" s="2">
        <v>616</v>
      </c>
      <c r="E10" s="2">
        <v>665</v>
      </c>
      <c r="F10" s="2"/>
      <c r="G10" s="2"/>
      <c r="H10" s="2"/>
      <c r="I10" s="2"/>
      <c r="J10" s="2">
        <v>478</v>
      </c>
      <c r="K10" s="2">
        <v>0</v>
      </c>
      <c r="L10" s="2">
        <v>1</v>
      </c>
    </row>
    <row r="11" spans="1:12" x14ac:dyDescent="0.25">
      <c r="A11" s="2" t="s">
        <v>17</v>
      </c>
      <c r="B11" s="2">
        <v>674</v>
      </c>
      <c r="C11" s="2">
        <v>571</v>
      </c>
      <c r="D11" s="2">
        <v>684</v>
      </c>
      <c r="E11" s="2">
        <v>735</v>
      </c>
      <c r="F11" s="2"/>
      <c r="G11" s="2"/>
      <c r="H11" s="2"/>
      <c r="I11" s="2"/>
      <c r="J11" s="2">
        <v>505</v>
      </c>
      <c r="K11" s="2">
        <v>0</v>
      </c>
      <c r="L11" s="2">
        <v>5</v>
      </c>
    </row>
    <row r="12" spans="1:12" s="5" customFormat="1" ht="13.8" thickBot="1" x14ac:dyDescent="0.3">
      <c r="A12" s="15" t="s">
        <v>18</v>
      </c>
      <c r="B12" s="13">
        <f>SUM(B9:B11)</f>
        <v>1811</v>
      </c>
      <c r="C12" s="13">
        <f>SUM(C9:C11)</f>
        <v>1531</v>
      </c>
      <c r="D12" s="13">
        <f>SUM(D9:D11)</f>
        <v>2009</v>
      </c>
      <c r="E12" s="13">
        <f>SUM(E9:E11)</f>
        <v>2178</v>
      </c>
      <c r="F12" s="13"/>
      <c r="G12" s="13"/>
      <c r="H12" s="13"/>
      <c r="I12" s="13"/>
      <c r="J12" s="13">
        <f>SUM(J9:J11)</f>
        <v>1526</v>
      </c>
      <c r="K12" s="13">
        <f>SUM(K9:K11)</f>
        <v>1</v>
      </c>
      <c r="L12" s="13">
        <f>SUM(L9:L11)</f>
        <v>7</v>
      </c>
    </row>
    <row r="13" spans="1:12" s="5" customFormat="1" ht="24.6" thickTop="1" x14ac:dyDescent="0.25">
      <c r="A13" s="10" t="s">
        <v>19</v>
      </c>
      <c r="B13" s="11" t="s">
        <v>20</v>
      </c>
      <c r="C13" s="11" t="s">
        <v>21</v>
      </c>
      <c r="D13" s="11" t="s">
        <v>22</v>
      </c>
      <c r="E13" s="11" t="s">
        <v>23</v>
      </c>
      <c r="F13" s="11"/>
      <c r="G13" s="11"/>
      <c r="H13" s="11"/>
      <c r="I13" s="11"/>
      <c r="J13" s="11" t="s">
        <v>5</v>
      </c>
      <c r="K13" s="11" t="s">
        <v>4</v>
      </c>
      <c r="L13" s="11" t="s">
        <v>3</v>
      </c>
    </row>
    <row r="14" spans="1:12" x14ac:dyDescent="0.25">
      <c r="A14" s="2" t="s">
        <v>24</v>
      </c>
      <c r="B14" s="2">
        <v>881</v>
      </c>
      <c r="C14" s="2">
        <v>977</v>
      </c>
      <c r="D14" s="2">
        <v>596</v>
      </c>
      <c r="E14" s="2">
        <v>725</v>
      </c>
      <c r="F14" s="2"/>
      <c r="G14" s="2"/>
      <c r="H14" s="6"/>
      <c r="I14" s="2"/>
      <c r="J14" s="9">
        <v>331</v>
      </c>
      <c r="K14" s="13">
        <v>0</v>
      </c>
      <c r="L14" s="13">
        <v>1</v>
      </c>
    </row>
    <row r="15" spans="1:12" x14ac:dyDescent="0.25">
      <c r="A15" s="2" t="s">
        <v>25</v>
      </c>
      <c r="B15" s="2">
        <v>1205</v>
      </c>
      <c r="C15" s="2">
        <v>1334</v>
      </c>
      <c r="D15" s="2">
        <v>1927</v>
      </c>
      <c r="E15" s="6">
        <v>2073</v>
      </c>
      <c r="F15" s="6"/>
      <c r="G15" s="6"/>
      <c r="H15" s="2"/>
      <c r="I15" s="2"/>
      <c r="J15" s="2">
        <v>936</v>
      </c>
      <c r="K15" s="2">
        <v>5</v>
      </c>
      <c r="L15" s="2">
        <v>0</v>
      </c>
    </row>
    <row r="16" spans="1:12" ht="13.8" thickBot="1" x14ac:dyDescent="0.3">
      <c r="A16" s="15" t="s">
        <v>18</v>
      </c>
      <c r="B16" s="13">
        <f>SUM(B14:B15)</f>
        <v>2086</v>
      </c>
      <c r="C16" s="13">
        <f>SUM(C14:C15)</f>
        <v>2311</v>
      </c>
      <c r="D16" s="13">
        <f>SUM(D14:D15)</f>
        <v>2523</v>
      </c>
      <c r="E16" s="13">
        <f>SUM(E14:E15)</f>
        <v>2798</v>
      </c>
      <c r="F16" s="13"/>
      <c r="G16" s="13"/>
      <c r="H16" s="13"/>
      <c r="I16" s="13"/>
      <c r="J16" s="13">
        <f>SUM(J14:J15)</f>
        <v>1267</v>
      </c>
      <c r="K16" s="13">
        <f>SUM(K14:K15)</f>
        <v>5</v>
      </c>
      <c r="L16" s="13">
        <f>SUM(L14:L15)</f>
        <v>1</v>
      </c>
    </row>
    <row r="17" spans="1:12" s="5" customFormat="1" ht="24.6" thickTop="1" x14ac:dyDescent="0.25">
      <c r="A17" s="10" t="s">
        <v>26</v>
      </c>
      <c r="B17" s="11" t="s">
        <v>27</v>
      </c>
      <c r="C17" s="11" t="s">
        <v>28</v>
      </c>
      <c r="D17" s="11" t="s">
        <v>29</v>
      </c>
      <c r="E17" s="11" t="s">
        <v>30</v>
      </c>
      <c r="F17" s="11"/>
      <c r="G17" s="11"/>
      <c r="H17" s="11"/>
      <c r="I17" s="19"/>
      <c r="J17" s="11" t="s">
        <v>5</v>
      </c>
      <c r="K17" s="11" t="s">
        <v>4</v>
      </c>
      <c r="L17" s="11" t="s">
        <v>3</v>
      </c>
    </row>
    <row r="18" spans="1:12" s="5" customFormat="1" x14ac:dyDescent="0.25">
      <c r="A18" s="2" t="s">
        <v>31</v>
      </c>
      <c r="B18" s="24">
        <v>753</v>
      </c>
      <c r="C18" s="24">
        <v>716</v>
      </c>
      <c r="D18" s="24">
        <v>748</v>
      </c>
      <c r="E18" s="24">
        <v>619</v>
      </c>
      <c r="F18" s="1"/>
      <c r="G18" s="1"/>
      <c r="H18" s="1"/>
      <c r="I18" s="2"/>
      <c r="J18" s="9">
        <v>13</v>
      </c>
      <c r="K18" s="13">
        <v>2</v>
      </c>
      <c r="L18" s="13">
        <v>2</v>
      </c>
    </row>
    <row r="19" spans="1:12" s="5" customFormat="1" x14ac:dyDescent="0.25">
      <c r="A19" s="2" t="s">
        <v>32</v>
      </c>
      <c r="B19" s="24">
        <v>275</v>
      </c>
      <c r="C19" s="24">
        <v>266</v>
      </c>
      <c r="D19" s="24">
        <v>479</v>
      </c>
      <c r="E19" s="24">
        <v>395</v>
      </c>
      <c r="F19" s="1"/>
      <c r="G19" s="1"/>
      <c r="H19" s="1"/>
      <c r="I19" s="2"/>
      <c r="J19" s="2">
        <v>251</v>
      </c>
      <c r="K19" s="2">
        <v>0</v>
      </c>
      <c r="L19" s="2">
        <v>2</v>
      </c>
    </row>
    <row r="20" spans="1:12" s="5" customFormat="1" x14ac:dyDescent="0.25">
      <c r="A20" s="2" t="s">
        <v>33</v>
      </c>
      <c r="B20" s="24">
        <v>189</v>
      </c>
      <c r="C20" s="24">
        <v>188</v>
      </c>
      <c r="D20" s="24">
        <v>391</v>
      </c>
      <c r="E20" s="24">
        <v>375</v>
      </c>
      <c r="F20" s="1"/>
      <c r="G20" s="1"/>
      <c r="H20" s="1"/>
      <c r="I20" s="2"/>
      <c r="J20" s="2">
        <v>197</v>
      </c>
      <c r="K20" s="2">
        <v>0</v>
      </c>
      <c r="L20" s="2">
        <v>0</v>
      </c>
    </row>
    <row r="21" spans="1:12" x14ac:dyDescent="0.25">
      <c r="A21" s="2" t="s">
        <v>34</v>
      </c>
      <c r="B21" s="6">
        <v>363</v>
      </c>
      <c r="C21" s="6">
        <v>332</v>
      </c>
      <c r="D21" s="6">
        <v>598</v>
      </c>
      <c r="E21" s="6">
        <v>485</v>
      </c>
      <c r="F21" s="2"/>
      <c r="G21" s="2"/>
      <c r="H21" s="2"/>
      <c r="I21" s="2"/>
      <c r="J21" s="2">
        <v>242</v>
      </c>
      <c r="K21" s="2">
        <v>0</v>
      </c>
      <c r="L21" s="2">
        <v>0</v>
      </c>
    </row>
    <row r="22" spans="1:12" x14ac:dyDescent="0.25">
      <c r="A22" s="2" t="s">
        <v>35</v>
      </c>
      <c r="B22" s="6">
        <v>502</v>
      </c>
      <c r="C22" s="6">
        <v>504</v>
      </c>
      <c r="D22" s="2">
        <v>662</v>
      </c>
      <c r="E22" s="2">
        <v>597</v>
      </c>
      <c r="F22" s="2"/>
      <c r="G22" s="2"/>
      <c r="H22" s="2"/>
      <c r="I22" s="2"/>
      <c r="J22" s="2">
        <v>341</v>
      </c>
      <c r="K22" s="2">
        <v>0</v>
      </c>
      <c r="L22" s="2">
        <v>0</v>
      </c>
    </row>
    <row r="23" spans="1:12" ht="13.8" thickBot="1" x14ac:dyDescent="0.3">
      <c r="A23" s="15" t="s">
        <v>18</v>
      </c>
      <c r="B23" s="18">
        <f>SUM(B18:B22)</f>
        <v>2082</v>
      </c>
      <c r="C23" s="18">
        <f>SUM(C18:C22)</f>
        <v>2006</v>
      </c>
      <c r="D23" s="18">
        <f>SUM(D18:D22)</f>
        <v>2878</v>
      </c>
      <c r="E23" s="18">
        <f>SUM(E18:E22)</f>
        <v>2471</v>
      </c>
      <c r="F23" s="13"/>
      <c r="G23" s="13"/>
      <c r="H23" s="13"/>
      <c r="I23" s="13"/>
      <c r="J23" s="18">
        <f>SUM(J18:J22)</f>
        <v>1044</v>
      </c>
      <c r="K23" s="18">
        <f>SUM(K18:K22)</f>
        <v>2</v>
      </c>
      <c r="L23" s="18">
        <f>SUM(L18:L22)</f>
        <v>4</v>
      </c>
    </row>
    <row r="24" spans="1:12" s="5" customFormat="1" ht="24.6" thickTop="1" x14ac:dyDescent="0.25">
      <c r="A24" s="10" t="s">
        <v>36</v>
      </c>
      <c r="B24" s="11" t="s">
        <v>37</v>
      </c>
      <c r="C24" s="11" t="s">
        <v>38</v>
      </c>
      <c r="D24" s="11"/>
      <c r="E24" s="11"/>
      <c r="F24" s="11"/>
      <c r="G24" s="11"/>
      <c r="H24" s="11"/>
      <c r="I24" s="11"/>
      <c r="J24" s="11" t="s">
        <v>5</v>
      </c>
      <c r="K24" s="11" t="s">
        <v>4</v>
      </c>
      <c r="L24" s="11" t="s">
        <v>3</v>
      </c>
    </row>
    <row r="25" spans="1:12" x14ac:dyDescent="0.25">
      <c r="A25" s="2" t="s">
        <v>39</v>
      </c>
      <c r="B25" s="2">
        <v>765</v>
      </c>
      <c r="C25" s="2">
        <v>610</v>
      </c>
      <c r="D25" s="2"/>
      <c r="E25" s="2"/>
      <c r="F25" s="2"/>
      <c r="G25" s="2"/>
      <c r="H25" s="2"/>
      <c r="I25" s="2"/>
      <c r="J25" s="9">
        <v>64</v>
      </c>
      <c r="K25" s="13">
        <v>0</v>
      </c>
      <c r="L25" s="13">
        <v>0</v>
      </c>
    </row>
    <row r="26" spans="1:12" x14ac:dyDescent="0.25">
      <c r="A26" s="2" t="s">
        <v>40</v>
      </c>
      <c r="B26" s="2">
        <v>601</v>
      </c>
      <c r="C26" s="2">
        <v>363</v>
      </c>
      <c r="D26" s="2"/>
      <c r="E26" s="2"/>
      <c r="F26" s="2"/>
      <c r="G26" s="2"/>
      <c r="H26" s="2"/>
      <c r="I26" s="2"/>
      <c r="J26" s="2">
        <v>51</v>
      </c>
      <c r="K26" s="2">
        <v>1</v>
      </c>
      <c r="L26" s="2">
        <v>1</v>
      </c>
    </row>
    <row r="27" spans="1:12" ht="13.8" thickBot="1" x14ac:dyDescent="0.3">
      <c r="A27" s="15" t="s">
        <v>18</v>
      </c>
      <c r="B27" s="13">
        <f>SUM(B25:B26)</f>
        <v>1366</v>
      </c>
      <c r="C27" s="13">
        <f>SUM(C25:C26)</f>
        <v>973</v>
      </c>
      <c r="D27" s="13"/>
      <c r="E27" s="13"/>
      <c r="F27" s="13"/>
      <c r="G27" s="13"/>
      <c r="H27" s="16"/>
      <c r="I27" s="13"/>
      <c r="J27" s="13">
        <f>SUM(J25:J26)</f>
        <v>115</v>
      </c>
      <c r="K27" s="13">
        <f>SUM(K25:K26)</f>
        <v>1</v>
      </c>
      <c r="L27" s="13">
        <f>SUM(L25:L26)</f>
        <v>1</v>
      </c>
    </row>
    <row r="28" spans="1:12" s="5" customFormat="1" ht="24.6" thickTop="1" x14ac:dyDescent="0.25">
      <c r="A28" s="10" t="s">
        <v>41</v>
      </c>
      <c r="B28" s="11" t="s">
        <v>42</v>
      </c>
      <c r="C28" s="11" t="s">
        <v>43</v>
      </c>
      <c r="D28" s="11" t="s">
        <v>44</v>
      </c>
      <c r="E28" s="11" t="s">
        <v>45</v>
      </c>
      <c r="F28" s="11"/>
      <c r="G28" s="11"/>
      <c r="H28" s="11"/>
      <c r="I28" s="19"/>
      <c r="J28" s="11" t="s">
        <v>5</v>
      </c>
      <c r="K28" s="11" t="s">
        <v>4</v>
      </c>
      <c r="L28" s="11" t="s">
        <v>3</v>
      </c>
    </row>
    <row r="29" spans="1:12" x14ac:dyDescent="0.25">
      <c r="A29" s="2" t="s">
        <v>46</v>
      </c>
      <c r="B29" s="2">
        <v>1931</v>
      </c>
      <c r="C29" s="2">
        <v>1827</v>
      </c>
      <c r="D29" s="2">
        <v>1187</v>
      </c>
      <c r="E29" s="2">
        <v>920</v>
      </c>
      <c r="F29" s="6"/>
      <c r="G29" s="2"/>
      <c r="H29" s="2"/>
      <c r="I29" s="2"/>
      <c r="J29" s="9">
        <v>468</v>
      </c>
      <c r="K29" s="13">
        <v>4</v>
      </c>
      <c r="L29" s="13">
        <v>0</v>
      </c>
    </row>
    <row r="30" spans="1:12" x14ac:dyDescent="0.25">
      <c r="A30" s="2" t="s">
        <v>47</v>
      </c>
      <c r="B30" s="2">
        <v>790</v>
      </c>
      <c r="C30" s="2">
        <v>787</v>
      </c>
      <c r="D30" s="2">
        <v>779</v>
      </c>
      <c r="E30" s="6">
        <v>683</v>
      </c>
      <c r="F30" s="2"/>
      <c r="G30" s="2"/>
      <c r="H30" s="2"/>
      <c r="I30" s="2"/>
      <c r="J30" s="2">
        <v>360</v>
      </c>
      <c r="K30" s="2">
        <v>0</v>
      </c>
      <c r="L30" s="2">
        <v>2</v>
      </c>
    </row>
    <row r="31" spans="1:12" s="5" customFormat="1" ht="13.8" thickBot="1" x14ac:dyDescent="0.3">
      <c r="A31" s="15" t="s">
        <v>18</v>
      </c>
      <c r="B31" s="13">
        <f>SUM(B29:B30)</f>
        <v>2721</v>
      </c>
      <c r="C31" s="13">
        <f>SUM(C29:C30)</f>
        <v>2614</v>
      </c>
      <c r="D31" s="13">
        <f>SUM(D29:D30)</f>
        <v>1966</v>
      </c>
      <c r="E31" s="13">
        <f>SUM(E29:E30)</f>
        <v>1603</v>
      </c>
      <c r="F31" s="13"/>
      <c r="G31" s="13"/>
      <c r="H31" s="13"/>
      <c r="I31" s="13"/>
      <c r="J31" s="13">
        <f>SUM(J29:J30)</f>
        <v>828</v>
      </c>
      <c r="K31" s="13">
        <f>SUM(K29:K30)</f>
        <v>4</v>
      </c>
      <c r="L31" s="13">
        <f>SUM(L29:L30)</f>
        <v>2</v>
      </c>
    </row>
    <row r="32" spans="1:12" s="5" customFormat="1" ht="24.6" thickTop="1" x14ac:dyDescent="0.25">
      <c r="A32" s="10" t="s">
        <v>48</v>
      </c>
      <c r="B32" s="11" t="s">
        <v>49</v>
      </c>
      <c r="C32" s="11" t="s">
        <v>50</v>
      </c>
      <c r="D32" s="11" t="s">
        <v>51</v>
      </c>
      <c r="E32" s="11" t="s">
        <v>52</v>
      </c>
      <c r="F32" s="11" t="s">
        <v>53</v>
      </c>
      <c r="G32" s="11" t="s">
        <v>54</v>
      </c>
      <c r="H32" s="11"/>
      <c r="I32" s="11"/>
      <c r="J32" s="11" t="s">
        <v>5</v>
      </c>
      <c r="K32" s="11" t="s">
        <v>4</v>
      </c>
      <c r="L32" s="11" t="s">
        <v>3</v>
      </c>
    </row>
    <row r="33" spans="1:12" s="5" customFormat="1" x14ac:dyDescent="0.25">
      <c r="A33" s="2" t="s">
        <v>55</v>
      </c>
      <c r="B33" s="24">
        <v>470</v>
      </c>
      <c r="C33" s="24">
        <v>511</v>
      </c>
      <c r="D33" s="24">
        <v>470</v>
      </c>
      <c r="E33" s="24">
        <v>518</v>
      </c>
      <c r="F33" s="24">
        <v>471</v>
      </c>
      <c r="G33" s="24">
        <v>538</v>
      </c>
      <c r="H33" s="1"/>
      <c r="I33" s="1"/>
      <c r="J33" s="9">
        <v>375</v>
      </c>
      <c r="K33" s="13">
        <v>0</v>
      </c>
      <c r="L33" s="13">
        <v>4</v>
      </c>
    </row>
    <row r="34" spans="1:12" s="5" customFormat="1" x14ac:dyDescent="0.25">
      <c r="A34" s="2" t="s">
        <v>56</v>
      </c>
      <c r="B34" s="24">
        <v>1343</v>
      </c>
      <c r="C34" s="24">
        <v>1348</v>
      </c>
      <c r="D34" s="24">
        <v>1353</v>
      </c>
      <c r="E34" s="24">
        <v>1227</v>
      </c>
      <c r="F34" s="24">
        <v>1167</v>
      </c>
      <c r="G34" s="24">
        <v>1197</v>
      </c>
      <c r="H34" s="1"/>
      <c r="I34" s="1"/>
      <c r="J34" s="2">
        <v>1071</v>
      </c>
      <c r="K34" s="2">
        <v>5</v>
      </c>
      <c r="L34" s="2">
        <v>5</v>
      </c>
    </row>
    <row r="35" spans="1:12" s="5" customFormat="1" x14ac:dyDescent="0.25">
      <c r="A35" s="2" t="s">
        <v>57</v>
      </c>
      <c r="B35" s="24">
        <v>887</v>
      </c>
      <c r="C35" s="24">
        <v>906</v>
      </c>
      <c r="D35" s="24">
        <v>871</v>
      </c>
      <c r="E35" s="24">
        <v>827</v>
      </c>
      <c r="F35" s="24">
        <v>752</v>
      </c>
      <c r="G35" s="24">
        <v>902</v>
      </c>
      <c r="H35" s="1"/>
      <c r="I35" s="1"/>
      <c r="J35" s="2">
        <v>640</v>
      </c>
      <c r="K35" s="2">
        <v>0</v>
      </c>
      <c r="L35" s="2">
        <v>0</v>
      </c>
    </row>
    <row r="36" spans="1:12" ht="13.8" thickBot="1" x14ac:dyDescent="0.3">
      <c r="A36" s="15" t="s">
        <v>18</v>
      </c>
      <c r="B36" s="18">
        <f t="shared" ref="B36:G36" si="0">SUM(B33:B35)</f>
        <v>2700</v>
      </c>
      <c r="C36" s="18">
        <f t="shared" si="0"/>
        <v>2765</v>
      </c>
      <c r="D36" s="18">
        <f t="shared" si="0"/>
        <v>2694</v>
      </c>
      <c r="E36" s="18">
        <f t="shared" si="0"/>
        <v>2572</v>
      </c>
      <c r="F36" s="18">
        <f t="shared" si="0"/>
        <v>2390</v>
      </c>
      <c r="G36" s="18">
        <f t="shared" si="0"/>
        <v>2637</v>
      </c>
      <c r="H36" s="13"/>
      <c r="I36" s="13"/>
      <c r="J36" s="18">
        <f>SUM(J33:J35)</f>
        <v>2086</v>
      </c>
      <c r="K36" s="18">
        <f>SUM(K33:K35)</f>
        <v>5</v>
      </c>
      <c r="L36" s="18">
        <f>SUM(L33:L35)</f>
        <v>9</v>
      </c>
    </row>
    <row r="37" spans="1:12" s="31" customFormat="1" ht="24.6" thickTop="1" x14ac:dyDescent="0.25">
      <c r="A37" s="10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 t="s">
        <v>5</v>
      </c>
      <c r="K37" s="11" t="s">
        <v>4</v>
      </c>
      <c r="L37" s="11" t="s">
        <v>3</v>
      </c>
    </row>
    <row r="38" spans="1:12" s="5" customFormat="1" x14ac:dyDescent="0.25">
      <c r="A38" s="2" t="s">
        <v>63</v>
      </c>
      <c r="B38" s="25">
        <v>2732</v>
      </c>
      <c r="C38" s="25">
        <v>2971</v>
      </c>
      <c r="D38" s="25">
        <v>2491</v>
      </c>
      <c r="E38" s="25">
        <v>2512</v>
      </c>
      <c r="F38" s="6"/>
      <c r="G38" s="6"/>
      <c r="H38" s="6"/>
      <c r="I38" s="1"/>
      <c r="J38" s="9">
        <v>2292</v>
      </c>
      <c r="K38" s="13">
        <v>0</v>
      </c>
      <c r="L38" s="13">
        <v>18</v>
      </c>
    </row>
    <row r="39" spans="1:12" s="5" customFormat="1" x14ac:dyDescent="0.25">
      <c r="A39" s="2" t="s">
        <v>64</v>
      </c>
      <c r="B39" s="25">
        <v>2290</v>
      </c>
      <c r="C39" s="25">
        <v>2290</v>
      </c>
      <c r="D39" s="25">
        <v>2453</v>
      </c>
      <c r="E39" s="25">
        <v>2372</v>
      </c>
      <c r="F39" s="6"/>
      <c r="G39" s="6"/>
      <c r="H39" s="6"/>
      <c r="I39" s="1"/>
      <c r="J39" s="2">
        <v>1667</v>
      </c>
      <c r="K39" s="2">
        <v>10</v>
      </c>
      <c r="L39" s="24">
        <v>4</v>
      </c>
    </row>
    <row r="40" spans="1:12" x14ac:dyDescent="0.25">
      <c r="A40" s="4" t="s">
        <v>18</v>
      </c>
      <c r="B40" s="18">
        <f>SUM(B38:B39)</f>
        <v>5022</v>
      </c>
      <c r="C40" s="18">
        <f>SUM(C38:C39)</f>
        <v>5261</v>
      </c>
      <c r="D40" s="18">
        <f>SUM(D38:D39)</f>
        <v>4944</v>
      </c>
      <c r="E40" s="18">
        <f>SUM(E38:E39)</f>
        <v>4884</v>
      </c>
      <c r="F40" s="18"/>
      <c r="G40" s="18"/>
      <c r="H40" s="6"/>
      <c r="I40" s="2"/>
      <c r="J40" s="18">
        <f>SUM(J38:J39)</f>
        <v>3959</v>
      </c>
      <c r="K40" s="18">
        <f>SUM(K38:K39)</f>
        <v>10</v>
      </c>
      <c r="L40" s="18">
        <f>SUM(L38:L39)</f>
        <v>22</v>
      </c>
    </row>
    <row r="41" spans="1:12" ht="24" x14ac:dyDescent="0.25">
      <c r="A41" s="4"/>
      <c r="B41" s="1" t="s">
        <v>65</v>
      </c>
      <c r="C41" s="1" t="s">
        <v>66</v>
      </c>
      <c r="D41" s="1" t="s">
        <v>67</v>
      </c>
      <c r="E41" s="1" t="s">
        <v>68</v>
      </c>
      <c r="F41" s="1"/>
      <c r="G41" s="1"/>
      <c r="H41" s="6"/>
      <c r="I41" s="2"/>
      <c r="J41" s="2"/>
      <c r="K41" s="2"/>
      <c r="L41" s="2"/>
    </row>
    <row r="42" spans="1:12" x14ac:dyDescent="0.25">
      <c r="A42" s="2" t="s">
        <v>63</v>
      </c>
      <c r="B42" s="6">
        <v>2143</v>
      </c>
      <c r="C42" s="6">
        <v>1974</v>
      </c>
      <c r="D42" s="6">
        <v>2124</v>
      </c>
      <c r="E42" s="6">
        <v>2505</v>
      </c>
      <c r="F42" s="6"/>
      <c r="G42" s="6"/>
      <c r="H42" s="6"/>
      <c r="I42" s="2"/>
      <c r="J42" s="2"/>
      <c r="K42" s="2"/>
      <c r="L42" s="2"/>
    </row>
    <row r="43" spans="1:12" x14ac:dyDescent="0.25">
      <c r="A43" s="2" t="s">
        <v>64</v>
      </c>
      <c r="B43" s="6">
        <v>1524</v>
      </c>
      <c r="C43" s="6">
        <v>1389</v>
      </c>
      <c r="D43" s="6">
        <v>1391</v>
      </c>
      <c r="E43" s="6">
        <v>1474</v>
      </c>
      <c r="F43" s="6"/>
      <c r="G43" s="6"/>
      <c r="H43" s="6"/>
      <c r="I43" s="2"/>
      <c r="L43" s="2"/>
    </row>
    <row r="44" spans="1:12" ht="13.8" thickBot="1" x14ac:dyDescent="0.3">
      <c r="A44" s="15" t="s">
        <v>18</v>
      </c>
      <c r="B44" s="18">
        <f>SUM(B42:B43)</f>
        <v>3667</v>
      </c>
      <c r="C44" s="18">
        <f>SUM(C42:C43)</f>
        <v>3363</v>
      </c>
      <c r="D44" s="18">
        <f>SUM(D42:D43)</f>
        <v>3515</v>
      </c>
      <c r="E44" s="18">
        <f>SUM(E42:E43)</f>
        <v>3979</v>
      </c>
      <c r="F44" s="18"/>
      <c r="G44" s="18"/>
      <c r="H44" s="18"/>
      <c r="I44" s="13"/>
      <c r="J44" s="13"/>
      <c r="K44" s="13"/>
      <c r="L44" s="13"/>
    </row>
    <row r="45" spans="1:12" s="5" customFormat="1" ht="24.6" thickTop="1" x14ac:dyDescent="0.25">
      <c r="A45" s="12" t="s">
        <v>69</v>
      </c>
      <c r="B45" s="11" t="s">
        <v>70</v>
      </c>
      <c r="C45" s="11" t="s">
        <v>71</v>
      </c>
      <c r="D45" s="11" t="s">
        <v>72</v>
      </c>
      <c r="E45" s="11" t="s">
        <v>73</v>
      </c>
      <c r="F45" s="11" t="s">
        <v>74</v>
      </c>
      <c r="G45" s="11" t="s">
        <v>75</v>
      </c>
      <c r="H45" s="11" t="s">
        <v>76</v>
      </c>
      <c r="I45" s="35" t="s">
        <v>77</v>
      </c>
      <c r="J45" s="11" t="s">
        <v>5</v>
      </c>
      <c r="K45" s="11" t="s">
        <v>4</v>
      </c>
      <c r="L45" s="11" t="s">
        <v>3</v>
      </c>
    </row>
    <row r="46" spans="1:12" x14ac:dyDescent="0.25">
      <c r="A46" s="2" t="s">
        <v>78</v>
      </c>
      <c r="B46" s="2">
        <v>702</v>
      </c>
      <c r="C46" s="2">
        <v>749</v>
      </c>
      <c r="D46" s="2">
        <v>672</v>
      </c>
      <c r="E46" s="2">
        <v>747</v>
      </c>
      <c r="F46" s="2">
        <v>1123</v>
      </c>
      <c r="G46" s="6">
        <v>1105</v>
      </c>
      <c r="H46" s="2">
        <v>1064</v>
      </c>
      <c r="I46" s="2">
        <v>1144</v>
      </c>
      <c r="J46" s="9">
        <v>1165</v>
      </c>
      <c r="K46" s="13">
        <v>0</v>
      </c>
      <c r="L46" s="13">
        <v>1</v>
      </c>
    </row>
    <row r="47" spans="1:12" ht="12" customHeight="1" x14ac:dyDescent="0.25">
      <c r="A47" s="7" t="s">
        <v>79</v>
      </c>
      <c r="B47" s="7">
        <v>3241</v>
      </c>
      <c r="C47" s="7">
        <v>3505</v>
      </c>
      <c r="D47" s="7">
        <v>3030</v>
      </c>
      <c r="E47" s="7">
        <v>3334</v>
      </c>
      <c r="F47" s="7">
        <v>4112</v>
      </c>
      <c r="G47" s="2">
        <v>4321</v>
      </c>
      <c r="H47" s="2">
        <v>3830</v>
      </c>
      <c r="I47" s="2">
        <v>4579</v>
      </c>
      <c r="J47" s="2">
        <v>5994</v>
      </c>
      <c r="K47" s="2">
        <v>0</v>
      </c>
      <c r="L47" s="2">
        <v>5</v>
      </c>
    </row>
    <row r="48" spans="1:12" s="5" customFormat="1" ht="13.8" thickBot="1" x14ac:dyDescent="0.3">
      <c r="A48" s="15" t="s">
        <v>18</v>
      </c>
      <c r="B48" s="13">
        <f t="shared" ref="B48:I48" si="1">SUM(B46:B47)</f>
        <v>3943</v>
      </c>
      <c r="C48" s="13">
        <f t="shared" si="1"/>
        <v>4254</v>
      </c>
      <c r="D48" s="13">
        <f t="shared" si="1"/>
        <v>3702</v>
      </c>
      <c r="E48" s="13">
        <f t="shared" si="1"/>
        <v>4081</v>
      </c>
      <c r="F48" s="13">
        <f t="shared" si="1"/>
        <v>5235</v>
      </c>
      <c r="G48" s="13">
        <f t="shared" si="1"/>
        <v>5426</v>
      </c>
      <c r="H48" s="13">
        <f t="shared" si="1"/>
        <v>4894</v>
      </c>
      <c r="I48" s="13">
        <f t="shared" si="1"/>
        <v>5723</v>
      </c>
      <c r="J48" s="13">
        <f>SUM(J46:J47)</f>
        <v>7159</v>
      </c>
      <c r="K48" s="13">
        <f>SUM(K46:K47)</f>
        <v>0</v>
      </c>
      <c r="L48" s="13">
        <f>SUM(L46:L47)</f>
        <v>6</v>
      </c>
    </row>
    <row r="49" spans="1:12" s="5" customFormat="1" ht="24.6" thickTop="1" x14ac:dyDescent="0.25">
      <c r="A49" s="10" t="s">
        <v>80</v>
      </c>
      <c r="B49" s="11" t="s">
        <v>81</v>
      </c>
      <c r="C49" s="11" t="s">
        <v>82</v>
      </c>
      <c r="D49" s="11"/>
      <c r="E49" s="11"/>
      <c r="F49" s="11"/>
      <c r="G49" s="11"/>
      <c r="H49" s="11"/>
      <c r="I49" s="11"/>
      <c r="J49" s="11" t="s">
        <v>5</v>
      </c>
      <c r="K49" s="11" t="s">
        <v>4</v>
      </c>
      <c r="L49" s="11" t="s">
        <v>3</v>
      </c>
    </row>
    <row r="50" spans="1:12" ht="13.8" thickBot="1" x14ac:dyDescent="0.3">
      <c r="A50" s="13" t="s">
        <v>83</v>
      </c>
      <c r="B50" s="13">
        <v>1233</v>
      </c>
      <c r="C50" s="13">
        <v>1287</v>
      </c>
      <c r="D50" s="13"/>
      <c r="E50" s="13"/>
      <c r="F50" s="18"/>
      <c r="G50" s="18"/>
      <c r="H50" s="18"/>
      <c r="I50" s="18"/>
      <c r="J50" s="9">
        <v>138</v>
      </c>
      <c r="K50" s="13">
        <v>0</v>
      </c>
      <c r="L50" s="13">
        <v>1</v>
      </c>
    </row>
    <row r="51" spans="1:12" s="5" customFormat="1" ht="24.6" thickTop="1" x14ac:dyDescent="0.25">
      <c r="A51" s="10" t="s">
        <v>84</v>
      </c>
      <c r="B51" s="11" t="s">
        <v>85</v>
      </c>
      <c r="C51" s="11" t="s">
        <v>86</v>
      </c>
      <c r="D51" s="11" t="s">
        <v>87</v>
      </c>
      <c r="E51" s="11" t="s">
        <v>88</v>
      </c>
      <c r="F51" s="11"/>
      <c r="G51" s="11"/>
      <c r="H51" s="11"/>
      <c r="I51" s="11"/>
      <c r="J51" s="11" t="s">
        <v>5</v>
      </c>
      <c r="K51" s="11" t="s">
        <v>4</v>
      </c>
      <c r="L51" s="11" t="s">
        <v>3</v>
      </c>
    </row>
    <row r="52" spans="1:12" ht="13.8" thickBot="1" x14ac:dyDescent="0.3">
      <c r="A52" s="13" t="s">
        <v>89</v>
      </c>
      <c r="B52" s="36">
        <v>1864</v>
      </c>
      <c r="C52" s="13">
        <v>2012</v>
      </c>
      <c r="D52" s="13">
        <v>2185</v>
      </c>
      <c r="E52" s="13">
        <v>2161</v>
      </c>
      <c r="F52" s="13"/>
      <c r="G52" s="13"/>
      <c r="H52" s="13"/>
      <c r="I52" s="13"/>
      <c r="J52" s="9">
        <v>842</v>
      </c>
      <c r="K52" s="13">
        <v>0</v>
      </c>
      <c r="L52" s="13">
        <v>2</v>
      </c>
    </row>
    <row r="53" spans="1:12" ht="24.6" thickTop="1" x14ac:dyDescent="0.25">
      <c r="A53" s="10" t="s">
        <v>90</v>
      </c>
      <c r="B53" s="11" t="s">
        <v>91</v>
      </c>
      <c r="C53" s="11" t="s">
        <v>92</v>
      </c>
      <c r="D53" s="11" t="s">
        <v>93</v>
      </c>
      <c r="E53" s="11" t="s">
        <v>94</v>
      </c>
      <c r="F53" s="11" t="s">
        <v>158</v>
      </c>
      <c r="G53" s="11"/>
      <c r="H53" s="11"/>
      <c r="I53" s="19"/>
      <c r="J53" s="11" t="s">
        <v>5</v>
      </c>
      <c r="K53" s="11" t="s">
        <v>4</v>
      </c>
      <c r="L53" s="11" t="s">
        <v>3</v>
      </c>
    </row>
    <row r="54" spans="1:12" x14ac:dyDescent="0.25">
      <c r="A54" s="2" t="s">
        <v>95</v>
      </c>
      <c r="B54" s="24">
        <v>725</v>
      </c>
      <c r="C54" s="24">
        <v>384</v>
      </c>
      <c r="D54" s="24">
        <v>875</v>
      </c>
      <c r="E54" s="1">
        <v>972</v>
      </c>
      <c r="F54" s="1">
        <v>331</v>
      </c>
      <c r="G54" s="1"/>
      <c r="H54" s="24"/>
      <c r="I54" s="2"/>
      <c r="J54" s="9">
        <v>441</v>
      </c>
      <c r="K54" s="13">
        <v>0</v>
      </c>
      <c r="L54" s="13">
        <v>0</v>
      </c>
    </row>
    <row r="55" spans="1:12" x14ac:dyDescent="0.25">
      <c r="A55" s="2" t="s">
        <v>96</v>
      </c>
      <c r="B55" s="24">
        <v>784</v>
      </c>
      <c r="C55" s="24">
        <v>531</v>
      </c>
      <c r="D55" s="24">
        <v>1026</v>
      </c>
      <c r="E55" s="24">
        <v>1173</v>
      </c>
      <c r="F55" s="24">
        <v>472</v>
      </c>
      <c r="G55" s="1"/>
      <c r="H55" s="24"/>
      <c r="I55" s="2"/>
      <c r="J55" s="2">
        <v>679</v>
      </c>
      <c r="K55" s="2">
        <v>0</v>
      </c>
      <c r="L55" s="2">
        <v>1</v>
      </c>
    </row>
    <row r="56" spans="1:12" ht="13.8" thickBot="1" x14ac:dyDescent="0.3">
      <c r="A56" s="15" t="s">
        <v>18</v>
      </c>
      <c r="B56" s="18">
        <f>SUM(B54:B55)</f>
        <v>1509</v>
      </c>
      <c r="C56" s="18">
        <f>SUM(C54:C55)</f>
        <v>915</v>
      </c>
      <c r="D56" s="18">
        <f>SUM(D54:D55)</f>
        <v>1901</v>
      </c>
      <c r="E56" s="18">
        <f>SUM(E54:E55)</f>
        <v>2145</v>
      </c>
      <c r="F56" s="18">
        <f>SUM(F54:F55)</f>
        <v>803</v>
      </c>
      <c r="G56" s="13"/>
      <c r="H56" s="18"/>
      <c r="I56" s="13"/>
      <c r="J56" s="18">
        <f>SUM(J54:J55)</f>
        <v>1120</v>
      </c>
      <c r="K56" s="18">
        <f>SUM(K54:K55)</f>
        <v>0</v>
      </c>
      <c r="L56" s="18">
        <f>SUM(L54:L55)</f>
        <v>1</v>
      </c>
    </row>
    <row r="57" spans="1:12" ht="36.6" thickTop="1" x14ac:dyDescent="0.25">
      <c r="A57" s="10" t="s">
        <v>97</v>
      </c>
      <c r="B57" s="11" t="s">
        <v>98</v>
      </c>
      <c r="C57" s="11" t="s">
        <v>160</v>
      </c>
      <c r="D57" s="11"/>
      <c r="E57" s="11"/>
      <c r="F57" s="11"/>
      <c r="G57" s="11"/>
      <c r="H57" s="11"/>
      <c r="I57" s="11"/>
      <c r="J57" s="11" t="s">
        <v>5</v>
      </c>
      <c r="K57" s="11" t="s">
        <v>4</v>
      </c>
      <c r="L57" s="11" t="s">
        <v>3</v>
      </c>
    </row>
    <row r="58" spans="1:12" ht="13.8" thickBot="1" x14ac:dyDescent="0.3">
      <c r="A58" s="13" t="s">
        <v>99</v>
      </c>
      <c r="B58" s="13">
        <v>2168</v>
      </c>
      <c r="C58" s="13">
        <v>114</v>
      </c>
      <c r="D58" s="13"/>
      <c r="E58" s="13"/>
      <c r="F58" s="18"/>
      <c r="G58" s="18"/>
      <c r="H58" s="18"/>
      <c r="I58" s="18"/>
      <c r="J58" s="9">
        <v>740</v>
      </c>
      <c r="K58" s="13">
        <v>0</v>
      </c>
      <c r="L58" s="13">
        <v>20</v>
      </c>
    </row>
    <row r="59" spans="1:12" ht="24.6" thickTop="1" x14ac:dyDescent="0.25">
      <c r="A59" s="10" t="s">
        <v>100</v>
      </c>
      <c r="B59" s="11" t="s">
        <v>101</v>
      </c>
      <c r="C59" s="11"/>
      <c r="D59" s="11"/>
      <c r="E59" s="11"/>
      <c r="F59" s="11"/>
      <c r="G59" s="11"/>
      <c r="H59" s="11"/>
      <c r="I59" s="11"/>
      <c r="J59" s="11" t="s">
        <v>5</v>
      </c>
      <c r="K59" s="11" t="s">
        <v>4</v>
      </c>
      <c r="L59" s="11" t="s">
        <v>3</v>
      </c>
    </row>
    <row r="60" spans="1:12" ht="13.8" thickBot="1" x14ac:dyDescent="0.3">
      <c r="A60" s="13" t="s">
        <v>102</v>
      </c>
      <c r="B60" s="13">
        <v>1750</v>
      </c>
      <c r="C60" s="13"/>
      <c r="D60" s="13"/>
      <c r="E60" s="13"/>
      <c r="F60" s="13"/>
      <c r="G60" s="13"/>
      <c r="H60" s="13"/>
      <c r="I60" s="13"/>
      <c r="J60" s="9">
        <v>793</v>
      </c>
      <c r="K60" s="13">
        <v>0</v>
      </c>
      <c r="L60" s="13">
        <v>24</v>
      </c>
    </row>
    <row r="61" spans="1:12" ht="24.6" thickTop="1" x14ac:dyDescent="0.25">
      <c r="A61" s="10" t="s">
        <v>103</v>
      </c>
      <c r="B61" s="11" t="s">
        <v>104</v>
      </c>
      <c r="C61" s="11" t="s">
        <v>105</v>
      </c>
      <c r="D61" s="11"/>
      <c r="E61" s="11"/>
      <c r="F61" s="11"/>
      <c r="G61" s="11"/>
      <c r="H61" s="11"/>
      <c r="I61" s="19"/>
      <c r="J61" s="11" t="s">
        <v>5</v>
      </c>
      <c r="K61" s="11" t="s">
        <v>4</v>
      </c>
      <c r="L61" s="11" t="s">
        <v>3</v>
      </c>
    </row>
    <row r="62" spans="1:12" ht="13.8" thickBot="1" x14ac:dyDescent="0.3">
      <c r="A62" s="13" t="s">
        <v>106</v>
      </c>
      <c r="B62" s="13">
        <v>1285</v>
      </c>
      <c r="C62" s="13">
        <v>892</v>
      </c>
      <c r="D62" s="13"/>
      <c r="E62" s="13"/>
      <c r="F62" s="13"/>
      <c r="G62" s="13"/>
      <c r="H62" s="13"/>
      <c r="I62" s="13"/>
      <c r="J62" s="9">
        <v>124</v>
      </c>
      <c r="K62" s="13">
        <v>0</v>
      </c>
      <c r="L62" s="13">
        <v>0</v>
      </c>
    </row>
    <row r="63" spans="1:12" ht="24.6" thickTop="1" x14ac:dyDescent="0.25">
      <c r="A63" s="10" t="s">
        <v>107</v>
      </c>
      <c r="B63" s="11" t="s">
        <v>108</v>
      </c>
      <c r="C63" s="11" t="s">
        <v>109</v>
      </c>
      <c r="D63" s="11"/>
      <c r="E63" s="11"/>
      <c r="F63" s="11"/>
      <c r="G63" s="11"/>
      <c r="H63" s="11"/>
      <c r="I63" s="11"/>
      <c r="J63" s="11" t="s">
        <v>5</v>
      </c>
      <c r="K63" s="11" t="s">
        <v>4</v>
      </c>
      <c r="L63" s="11" t="s">
        <v>3</v>
      </c>
    </row>
    <row r="64" spans="1:12" ht="13.8" thickBot="1" x14ac:dyDescent="0.3">
      <c r="A64" s="13" t="s">
        <v>110</v>
      </c>
      <c r="B64" s="13">
        <v>787</v>
      </c>
      <c r="C64" s="13">
        <v>504</v>
      </c>
      <c r="D64" s="13"/>
      <c r="E64" s="13"/>
      <c r="F64" s="18"/>
      <c r="G64" s="18"/>
      <c r="H64" s="18"/>
      <c r="I64" s="18"/>
      <c r="J64" s="9">
        <v>88</v>
      </c>
      <c r="K64" s="13">
        <v>0</v>
      </c>
      <c r="L64" s="13">
        <v>0</v>
      </c>
    </row>
    <row r="65" spans="1:12" ht="24.6" thickTop="1" x14ac:dyDescent="0.25">
      <c r="A65" s="10" t="s">
        <v>111</v>
      </c>
      <c r="B65" s="11" t="s">
        <v>112</v>
      </c>
      <c r="C65" s="11" t="s">
        <v>113</v>
      </c>
      <c r="D65" s="11"/>
      <c r="E65" s="11"/>
      <c r="F65" s="11"/>
      <c r="G65" s="11"/>
      <c r="H65" s="11"/>
      <c r="I65" s="11"/>
      <c r="J65" s="11" t="s">
        <v>5</v>
      </c>
      <c r="K65" s="11" t="s">
        <v>4</v>
      </c>
      <c r="L65" s="11" t="s">
        <v>3</v>
      </c>
    </row>
    <row r="66" spans="1:12" ht="13.8" thickBot="1" x14ac:dyDescent="0.3">
      <c r="A66" s="13" t="s">
        <v>114</v>
      </c>
      <c r="B66" s="13">
        <v>1526</v>
      </c>
      <c r="C66" s="13">
        <v>752</v>
      </c>
      <c r="D66" s="13"/>
      <c r="E66" s="13"/>
      <c r="F66" s="13"/>
      <c r="G66" s="13"/>
      <c r="H66" s="13"/>
      <c r="I66" s="13"/>
      <c r="J66" s="9">
        <v>127</v>
      </c>
      <c r="K66" s="13">
        <v>0</v>
      </c>
      <c r="L66" s="13">
        <v>1</v>
      </c>
    </row>
    <row r="67" spans="1:12" ht="24.6" thickTop="1" x14ac:dyDescent="0.25">
      <c r="A67" s="10" t="s">
        <v>115</v>
      </c>
      <c r="B67" s="11" t="s">
        <v>116</v>
      </c>
      <c r="C67" s="11"/>
      <c r="D67" s="11"/>
      <c r="E67" s="11"/>
      <c r="F67" s="11"/>
      <c r="G67" s="11"/>
      <c r="H67" s="11"/>
      <c r="I67" s="19"/>
      <c r="J67" s="11" t="s">
        <v>5</v>
      </c>
      <c r="K67" s="11" t="s">
        <v>4</v>
      </c>
      <c r="L67" s="11" t="s">
        <v>3</v>
      </c>
    </row>
    <row r="68" spans="1:12" ht="13.8" thickBot="1" x14ac:dyDescent="0.3">
      <c r="A68" s="13" t="s">
        <v>117</v>
      </c>
      <c r="B68" s="13">
        <v>2160</v>
      </c>
      <c r="C68" s="13"/>
      <c r="D68" s="13"/>
      <c r="E68" s="13"/>
      <c r="F68" s="13"/>
      <c r="G68" s="13"/>
      <c r="H68" s="13"/>
      <c r="I68" s="13"/>
      <c r="J68" s="9">
        <v>707</v>
      </c>
      <c r="K68" s="13">
        <v>0</v>
      </c>
      <c r="L68" s="13">
        <v>10</v>
      </c>
    </row>
    <row r="69" spans="1:12" ht="24.6" thickTop="1" x14ac:dyDescent="0.25">
      <c r="A69" s="10" t="s">
        <v>118</v>
      </c>
      <c r="B69" s="11" t="s">
        <v>119</v>
      </c>
      <c r="C69" s="11"/>
      <c r="D69" s="11"/>
      <c r="E69" s="11"/>
      <c r="F69" s="11"/>
      <c r="G69" s="11"/>
      <c r="H69" s="11"/>
      <c r="I69" s="19"/>
      <c r="J69" s="11" t="s">
        <v>5</v>
      </c>
      <c r="K69" s="11" t="s">
        <v>4</v>
      </c>
      <c r="L69" s="11" t="s">
        <v>3</v>
      </c>
    </row>
    <row r="70" spans="1:12" ht="13.8" thickBot="1" x14ac:dyDescent="0.3">
      <c r="A70" s="13" t="s">
        <v>120</v>
      </c>
      <c r="B70" s="13">
        <v>1437</v>
      </c>
      <c r="C70" s="13"/>
      <c r="D70" s="13"/>
      <c r="E70" s="13"/>
      <c r="F70" s="13"/>
      <c r="G70" s="13"/>
      <c r="H70" s="13"/>
      <c r="I70" s="13"/>
      <c r="J70" s="9">
        <v>688</v>
      </c>
      <c r="K70" s="13">
        <v>0</v>
      </c>
      <c r="L70" s="13">
        <v>2</v>
      </c>
    </row>
    <row r="71" spans="1:12" ht="24.6" thickTop="1" x14ac:dyDescent="0.25">
      <c r="A71" s="10" t="s">
        <v>121</v>
      </c>
      <c r="B71" s="11" t="s">
        <v>122</v>
      </c>
      <c r="C71" s="11" t="s">
        <v>123</v>
      </c>
      <c r="D71" s="11"/>
      <c r="E71" s="11"/>
      <c r="F71" s="11"/>
      <c r="G71" s="11"/>
      <c r="H71" s="11"/>
      <c r="I71" s="19"/>
      <c r="J71" s="11" t="s">
        <v>5</v>
      </c>
      <c r="K71" s="11" t="s">
        <v>4</v>
      </c>
      <c r="L71" s="11" t="s">
        <v>3</v>
      </c>
    </row>
    <row r="72" spans="1:12" ht="13.8" thickBot="1" x14ac:dyDescent="0.3">
      <c r="A72" s="13" t="s">
        <v>124</v>
      </c>
      <c r="B72" s="13">
        <v>1849</v>
      </c>
      <c r="C72" s="13">
        <v>907</v>
      </c>
      <c r="D72" s="13"/>
      <c r="E72" s="13"/>
      <c r="F72" s="13"/>
      <c r="G72" s="13"/>
      <c r="H72" s="13"/>
      <c r="I72" s="13"/>
      <c r="J72" s="9">
        <v>190</v>
      </c>
      <c r="K72" s="13">
        <v>0</v>
      </c>
      <c r="L72" s="13">
        <v>1</v>
      </c>
    </row>
    <row r="73" spans="1:12" ht="24.6" thickTop="1" x14ac:dyDescent="0.25">
      <c r="A73" s="10" t="s">
        <v>125</v>
      </c>
      <c r="B73" s="11" t="s">
        <v>126</v>
      </c>
      <c r="C73" s="11" t="s">
        <v>127</v>
      </c>
      <c r="D73" s="11"/>
      <c r="E73" s="14"/>
      <c r="F73" s="14"/>
      <c r="G73" s="14"/>
      <c r="H73" s="11"/>
      <c r="I73" s="19"/>
      <c r="J73" s="11" t="s">
        <v>5</v>
      </c>
      <c r="K73" s="11" t="s">
        <v>4</v>
      </c>
      <c r="L73" s="11" t="s">
        <v>3</v>
      </c>
    </row>
    <row r="74" spans="1:12" ht="13.8" thickBot="1" x14ac:dyDescent="0.3">
      <c r="A74" s="13" t="s">
        <v>128</v>
      </c>
      <c r="B74" s="13">
        <v>1244</v>
      </c>
      <c r="C74" s="13">
        <v>986</v>
      </c>
      <c r="D74" s="13"/>
      <c r="E74" s="13"/>
      <c r="F74" s="13"/>
      <c r="G74" s="13"/>
      <c r="H74" s="13"/>
      <c r="I74" s="13"/>
      <c r="J74" s="9">
        <v>180</v>
      </c>
      <c r="K74" s="13">
        <v>0</v>
      </c>
      <c r="L74" s="13">
        <v>1</v>
      </c>
    </row>
    <row r="75" spans="1:12" ht="24.6" thickTop="1" x14ac:dyDescent="0.25">
      <c r="A75" s="10" t="s">
        <v>129</v>
      </c>
      <c r="B75" s="11" t="s">
        <v>130</v>
      </c>
      <c r="C75" s="11" t="s">
        <v>131</v>
      </c>
      <c r="D75" s="11"/>
      <c r="E75" s="11"/>
      <c r="F75" s="11"/>
      <c r="G75" s="20"/>
      <c r="H75" s="20"/>
      <c r="I75" s="20"/>
      <c r="J75" s="11" t="s">
        <v>5</v>
      </c>
      <c r="K75" s="11" t="s">
        <v>4</v>
      </c>
      <c r="L75" s="11" t="s">
        <v>3</v>
      </c>
    </row>
    <row r="76" spans="1:12" ht="13.95" customHeight="1" thickBot="1" x14ac:dyDescent="0.3">
      <c r="A76" s="13" t="s">
        <v>132</v>
      </c>
      <c r="B76" s="13">
        <v>1099</v>
      </c>
      <c r="C76" s="13">
        <v>974</v>
      </c>
      <c r="D76" s="13"/>
      <c r="E76" s="13"/>
      <c r="F76" s="13"/>
      <c r="G76" s="13"/>
      <c r="H76" s="39"/>
      <c r="I76" s="40"/>
      <c r="J76" s="9">
        <v>124</v>
      </c>
      <c r="K76" s="13">
        <v>0</v>
      </c>
      <c r="L76" s="13">
        <v>1</v>
      </c>
    </row>
    <row r="77" spans="1:12" ht="24.6" thickTop="1" x14ac:dyDescent="0.25">
      <c r="A77" s="10" t="s">
        <v>133</v>
      </c>
      <c r="B77" s="11" t="s">
        <v>134</v>
      </c>
      <c r="C77" s="11" t="s">
        <v>135</v>
      </c>
      <c r="D77" s="11"/>
      <c r="E77" s="11"/>
      <c r="F77" s="11"/>
      <c r="G77" s="11"/>
      <c r="H77" s="11"/>
      <c r="I77" s="11"/>
      <c r="J77" s="11" t="s">
        <v>5</v>
      </c>
      <c r="K77" s="11" t="s">
        <v>4</v>
      </c>
      <c r="L77" s="11" t="s">
        <v>3</v>
      </c>
    </row>
    <row r="78" spans="1:12" ht="16.2" customHeight="1" thickBot="1" x14ac:dyDescent="0.3">
      <c r="A78" s="13" t="s">
        <v>136</v>
      </c>
      <c r="B78" s="13">
        <v>1786</v>
      </c>
      <c r="C78" s="13">
        <v>1166</v>
      </c>
      <c r="D78" s="13"/>
      <c r="E78" s="13"/>
      <c r="F78" s="13"/>
      <c r="G78" s="13"/>
      <c r="H78" s="13"/>
      <c r="I78" s="13"/>
      <c r="J78" s="9">
        <v>158</v>
      </c>
      <c r="K78" s="13">
        <v>0</v>
      </c>
      <c r="L78" s="13">
        <v>1</v>
      </c>
    </row>
    <row r="79" spans="1:12" ht="24.6" thickTop="1" x14ac:dyDescent="0.25">
      <c r="A79" s="10" t="s">
        <v>137</v>
      </c>
      <c r="B79" s="11" t="s">
        <v>138</v>
      </c>
      <c r="C79" s="11" t="s">
        <v>139</v>
      </c>
      <c r="D79" s="11"/>
      <c r="E79" s="19"/>
      <c r="F79" s="21"/>
      <c r="G79" s="19"/>
      <c r="H79" s="19"/>
      <c r="I79" s="19"/>
      <c r="J79" s="11" t="s">
        <v>5</v>
      </c>
      <c r="K79" s="11" t="s">
        <v>4</v>
      </c>
      <c r="L79" s="11" t="s">
        <v>3</v>
      </c>
    </row>
    <row r="80" spans="1:12" x14ac:dyDescent="0.25">
      <c r="A80" s="2" t="s">
        <v>15</v>
      </c>
      <c r="B80" s="2">
        <v>484</v>
      </c>
      <c r="C80" s="2">
        <v>921</v>
      </c>
      <c r="D80" s="2"/>
      <c r="E80" s="2"/>
      <c r="F80" s="2"/>
      <c r="G80" s="2"/>
      <c r="H80" s="2"/>
      <c r="I80" s="2"/>
      <c r="J80" s="9">
        <v>111</v>
      </c>
      <c r="K80" s="13">
        <v>0</v>
      </c>
      <c r="L80" s="13">
        <v>0</v>
      </c>
    </row>
    <row r="81" spans="1:12" x14ac:dyDescent="0.25">
      <c r="A81" s="2" t="s">
        <v>16</v>
      </c>
      <c r="B81" s="2">
        <v>560</v>
      </c>
      <c r="C81" s="2">
        <v>773</v>
      </c>
      <c r="D81" s="2"/>
      <c r="E81" s="2"/>
      <c r="F81" s="2"/>
      <c r="G81" s="2"/>
      <c r="H81" s="2"/>
      <c r="I81" s="2"/>
      <c r="J81" s="2">
        <v>95</v>
      </c>
      <c r="K81" s="2">
        <v>0</v>
      </c>
      <c r="L81" s="2">
        <v>1</v>
      </c>
    </row>
    <row r="82" spans="1:12" x14ac:dyDescent="0.25">
      <c r="A82" s="2" t="s">
        <v>17</v>
      </c>
      <c r="B82" s="2">
        <v>614</v>
      </c>
      <c r="C82" s="2">
        <v>863</v>
      </c>
      <c r="D82" s="2"/>
      <c r="E82" s="2"/>
      <c r="F82" s="2"/>
      <c r="G82" s="2"/>
      <c r="H82" s="2"/>
      <c r="I82" s="2"/>
      <c r="J82" s="2">
        <v>110</v>
      </c>
      <c r="K82" s="2">
        <v>0</v>
      </c>
      <c r="L82" s="2">
        <v>0</v>
      </c>
    </row>
    <row r="83" spans="1:12" x14ac:dyDescent="0.25">
      <c r="A83" s="2" t="s">
        <v>9</v>
      </c>
      <c r="B83" s="2">
        <v>1028</v>
      </c>
      <c r="C83" s="2">
        <v>1548</v>
      </c>
      <c r="D83" s="2"/>
      <c r="E83" s="2"/>
      <c r="F83" s="2"/>
      <c r="G83" s="2"/>
      <c r="H83" s="2"/>
      <c r="I83" s="2"/>
      <c r="J83" s="2">
        <v>226</v>
      </c>
      <c r="K83" s="2">
        <v>0</v>
      </c>
      <c r="L83" s="2">
        <v>1</v>
      </c>
    </row>
    <row r="84" spans="1:12" ht="13.8" thickBot="1" x14ac:dyDescent="0.3">
      <c r="A84" s="15" t="s">
        <v>18</v>
      </c>
      <c r="B84" s="13">
        <f>SUM(B80:B83)</f>
        <v>2686</v>
      </c>
      <c r="C84" s="13">
        <f>SUM(C80:C83)</f>
        <v>4105</v>
      </c>
      <c r="D84" s="13"/>
      <c r="E84" s="13"/>
      <c r="F84" s="13"/>
      <c r="G84" s="13"/>
      <c r="H84" s="13"/>
      <c r="I84" s="13"/>
      <c r="J84" s="13">
        <f>SUM(J80:J83)</f>
        <v>542</v>
      </c>
      <c r="K84" s="13">
        <f>SUM(K80:K83)</f>
        <v>0</v>
      </c>
      <c r="L84" s="13">
        <f>SUM(L80:L83)</f>
        <v>2</v>
      </c>
    </row>
    <row r="85" spans="1:12" ht="24.6" thickTop="1" x14ac:dyDescent="0.25">
      <c r="A85" s="10" t="s">
        <v>140</v>
      </c>
      <c r="B85" s="11" t="s">
        <v>141</v>
      </c>
      <c r="C85" s="11" t="s">
        <v>142</v>
      </c>
      <c r="D85" s="11"/>
      <c r="E85" s="19"/>
      <c r="F85" s="19"/>
      <c r="G85" s="19"/>
      <c r="H85" s="19"/>
      <c r="I85" s="19"/>
      <c r="J85" s="11" t="s">
        <v>5</v>
      </c>
      <c r="K85" s="11" t="s">
        <v>4</v>
      </c>
      <c r="L85" s="11" t="s">
        <v>3</v>
      </c>
    </row>
    <row r="86" spans="1:12" x14ac:dyDescent="0.25">
      <c r="A86" s="2" t="s">
        <v>31</v>
      </c>
      <c r="B86" s="26">
        <v>762</v>
      </c>
      <c r="C86" s="2">
        <v>733</v>
      </c>
      <c r="D86" s="2"/>
      <c r="E86" s="2"/>
      <c r="F86" s="2"/>
      <c r="G86" s="2"/>
      <c r="H86" s="2"/>
      <c r="I86" s="2"/>
      <c r="J86" s="9">
        <v>123</v>
      </c>
      <c r="K86" s="13">
        <v>1</v>
      </c>
      <c r="L86" s="13">
        <v>0</v>
      </c>
    </row>
    <row r="87" spans="1:12" x14ac:dyDescent="0.25">
      <c r="A87" s="2" t="s">
        <v>6</v>
      </c>
      <c r="B87" s="26">
        <v>879</v>
      </c>
      <c r="C87" s="2">
        <v>1096</v>
      </c>
      <c r="D87" s="2"/>
      <c r="E87" s="2"/>
      <c r="F87" s="2"/>
      <c r="G87" s="2"/>
      <c r="H87" s="2"/>
      <c r="I87" s="2"/>
      <c r="J87" s="2">
        <v>211</v>
      </c>
      <c r="K87" s="2">
        <v>0</v>
      </c>
      <c r="L87" s="2">
        <v>3</v>
      </c>
    </row>
    <row r="88" spans="1:12" x14ac:dyDescent="0.25">
      <c r="A88" s="2" t="s">
        <v>24</v>
      </c>
      <c r="B88" s="26">
        <v>900</v>
      </c>
      <c r="C88" s="2">
        <v>738</v>
      </c>
      <c r="D88" s="2"/>
      <c r="E88" s="2"/>
      <c r="F88" s="2"/>
      <c r="G88" s="2"/>
      <c r="H88" s="2"/>
      <c r="I88" s="2"/>
      <c r="J88" s="2">
        <v>116</v>
      </c>
      <c r="K88" s="2">
        <v>0</v>
      </c>
      <c r="L88" s="2">
        <v>1</v>
      </c>
    </row>
    <row r="89" spans="1:12" x14ac:dyDescent="0.25">
      <c r="A89" s="2" t="s">
        <v>32</v>
      </c>
      <c r="B89" s="26">
        <v>279</v>
      </c>
      <c r="C89" s="2">
        <v>498</v>
      </c>
      <c r="D89" s="2"/>
      <c r="E89" s="2"/>
      <c r="F89" s="2"/>
      <c r="G89" s="2"/>
      <c r="H89" s="2"/>
      <c r="I89" s="2"/>
      <c r="J89" s="2">
        <v>57</v>
      </c>
      <c r="K89" s="2">
        <v>0</v>
      </c>
      <c r="L89" s="2">
        <v>0</v>
      </c>
    </row>
    <row r="90" spans="1:12" x14ac:dyDescent="0.25">
      <c r="A90" s="2" t="s">
        <v>33</v>
      </c>
      <c r="B90" s="26">
        <v>201</v>
      </c>
      <c r="C90" s="2">
        <v>412</v>
      </c>
      <c r="D90" s="2"/>
      <c r="E90" s="2"/>
      <c r="F90" s="2"/>
      <c r="G90" s="2"/>
      <c r="H90" s="2"/>
      <c r="I90" s="2"/>
      <c r="J90" s="2">
        <v>57</v>
      </c>
      <c r="K90" s="2">
        <v>0</v>
      </c>
      <c r="L90" s="2">
        <v>0</v>
      </c>
    </row>
    <row r="91" spans="1:12" x14ac:dyDescent="0.25">
      <c r="A91" s="2" t="s">
        <v>25</v>
      </c>
      <c r="B91" s="26">
        <v>1281</v>
      </c>
      <c r="C91" s="2">
        <v>2213</v>
      </c>
      <c r="D91" s="2"/>
      <c r="E91" s="2"/>
      <c r="F91" s="2"/>
      <c r="G91" s="2"/>
      <c r="H91" s="2"/>
      <c r="I91" s="2"/>
      <c r="J91" s="2">
        <v>246</v>
      </c>
      <c r="K91" s="2">
        <v>0</v>
      </c>
      <c r="L91" s="2">
        <v>0</v>
      </c>
    </row>
    <row r="92" spans="1:12" x14ac:dyDescent="0.25">
      <c r="A92" s="2" t="s">
        <v>34</v>
      </c>
      <c r="B92" s="26">
        <v>346</v>
      </c>
      <c r="C92" s="2">
        <v>583</v>
      </c>
      <c r="D92" s="2"/>
      <c r="E92" s="2"/>
      <c r="F92" s="2"/>
      <c r="G92" s="2"/>
      <c r="H92" s="2"/>
      <c r="I92" s="2"/>
      <c r="J92" s="2">
        <v>81</v>
      </c>
      <c r="K92" s="2">
        <v>0</v>
      </c>
      <c r="L92" s="2">
        <v>0</v>
      </c>
    </row>
    <row r="93" spans="1:12" x14ac:dyDescent="0.25">
      <c r="A93" s="2" t="s">
        <v>35</v>
      </c>
      <c r="B93" s="26">
        <v>506</v>
      </c>
      <c r="C93" s="2">
        <v>686</v>
      </c>
      <c r="D93" s="2"/>
      <c r="E93" s="2"/>
      <c r="F93" s="2"/>
      <c r="G93" s="2"/>
      <c r="H93" s="2"/>
      <c r="I93" s="2"/>
      <c r="J93" s="2">
        <v>110</v>
      </c>
      <c r="K93" s="2">
        <v>0</v>
      </c>
      <c r="L93" s="2">
        <v>1</v>
      </c>
    </row>
    <row r="94" spans="1:12" ht="13.8" thickBot="1" x14ac:dyDescent="0.3">
      <c r="A94" s="15" t="s">
        <v>18</v>
      </c>
      <c r="B94" s="13">
        <f>SUM(B86:B93)</f>
        <v>5154</v>
      </c>
      <c r="C94" s="13">
        <f>SUM(C86:C93)</f>
        <v>6959</v>
      </c>
      <c r="D94" s="13"/>
      <c r="E94" s="13"/>
      <c r="F94" s="13"/>
      <c r="G94" s="13"/>
      <c r="H94" s="13"/>
      <c r="I94" s="13"/>
      <c r="J94" s="13">
        <f>SUM(J86:J93)</f>
        <v>1001</v>
      </c>
      <c r="K94" s="13">
        <f>SUM(K86:K93)</f>
        <v>1</v>
      </c>
      <c r="L94" s="13">
        <f>SUM(L86:L93)</f>
        <v>5</v>
      </c>
    </row>
    <row r="95" spans="1:12" ht="24.6" thickTop="1" x14ac:dyDescent="0.25">
      <c r="A95" s="10" t="s">
        <v>143</v>
      </c>
      <c r="B95" s="11" t="s">
        <v>144</v>
      </c>
      <c r="C95" s="11" t="s">
        <v>159</v>
      </c>
      <c r="D95" s="11" t="s">
        <v>145</v>
      </c>
      <c r="E95" s="11" t="s">
        <v>146</v>
      </c>
      <c r="F95" s="11"/>
      <c r="G95" s="11"/>
      <c r="H95" s="19"/>
      <c r="I95" s="19"/>
      <c r="J95" s="11" t="s">
        <v>5</v>
      </c>
      <c r="K95" s="11" t="s">
        <v>4</v>
      </c>
      <c r="L95" s="11" t="s">
        <v>3</v>
      </c>
    </row>
    <row r="96" spans="1:12" x14ac:dyDescent="0.25">
      <c r="A96" s="2" t="s">
        <v>83</v>
      </c>
      <c r="B96" s="2">
        <v>892</v>
      </c>
      <c r="C96" s="2">
        <v>1038</v>
      </c>
      <c r="D96" s="2">
        <v>1317</v>
      </c>
      <c r="E96" s="2">
        <v>1180</v>
      </c>
      <c r="F96" s="2"/>
      <c r="G96" s="2"/>
      <c r="H96" s="2"/>
      <c r="I96" s="2"/>
      <c r="J96" s="9">
        <v>897</v>
      </c>
      <c r="K96" s="13">
        <v>0</v>
      </c>
      <c r="L96" s="13">
        <v>0</v>
      </c>
    </row>
    <row r="97" spans="1:12" x14ac:dyDescent="0.25">
      <c r="A97" s="2" t="s">
        <v>78</v>
      </c>
      <c r="B97" s="2">
        <v>718</v>
      </c>
      <c r="C97" s="2">
        <v>740</v>
      </c>
      <c r="D97" s="2">
        <v>1138</v>
      </c>
      <c r="E97" s="2">
        <v>1138</v>
      </c>
      <c r="F97" s="2"/>
      <c r="G97" s="2"/>
      <c r="H97" s="2"/>
      <c r="I97" s="2"/>
      <c r="J97" s="2">
        <v>501</v>
      </c>
      <c r="K97" s="2">
        <v>0</v>
      </c>
      <c r="L97" s="2">
        <v>1</v>
      </c>
    </row>
    <row r="98" spans="1:12" x14ac:dyDescent="0.25">
      <c r="A98" s="2" t="s">
        <v>99</v>
      </c>
      <c r="B98" s="2">
        <v>864</v>
      </c>
      <c r="C98" s="2">
        <v>979</v>
      </c>
      <c r="D98" s="2">
        <v>1762</v>
      </c>
      <c r="E98" s="2">
        <v>1501</v>
      </c>
      <c r="F98" s="2"/>
      <c r="G98" s="2"/>
      <c r="H98" s="2"/>
      <c r="I98" s="2"/>
      <c r="J98" s="2">
        <v>984</v>
      </c>
      <c r="K98" s="2">
        <v>0</v>
      </c>
      <c r="L98" s="2">
        <v>4</v>
      </c>
    </row>
    <row r="99" spans="1:12" x14ac:dyDescent="0.25">
      <c r="A99" s="7" t="s">
        <v>79</v>
      </c>
      <c r="B99" s="7">
        <v>3151</v>
      </c>
      <c r="C99" s="2">
        <v>3608</v>
      </c>
      <c r="D99" s="7">
        <v>4419</v>
      </c>
      <c r="E99" s="2">
        <v>4089</v>
      </c>
      <c r="F99" s="2"/>
      <c r="G99" s="2"/>
      <c r="H99" s="2"/>
      <c r="I99" s="2"/>
      <c r="J99" s="2">
        <v>2709</v>
      </c>
      <c r="K99" s="2">
        <v>0</v>
      </c>
      <c r="L99" s="2">
        <v>2</v>
      </c>
    </row>
    <row r="100" spans="1:12" ht="13.8" thickBot="1" x14ac:dyDescent="0.3">
      <c r="A100" s="15" t="s">
        <v>18</v>
      </c>
      <c r="B100" s="13">
        <f>SUM(B96:B99)</f>
        <v>5625</v>
      </c>
      <c r="C100" s="13">
        <f>SUM(C96:C99)</f>
        <v>6365</v>
      </c>
      <c r="D100" s="13">
        <f>SUM(D96:D99)</f>
        <v>8636</v>
      </c>
      <c r="E100" s="13">
        <f>SUM(E96:E99)</f>
        <v>7908</v>
      </c>
      <c r="F100" s="13"/>
      <c r="G100" s="13"/>
      <c r="H100" s="13"/>
      <c r="I100" s="13"/>
      <c r="J100" s="13">
        <f>SUM(J96:J99)</f>
        <v>5091</v>
      </c>
      <c r="K100" s="13">
        <f>SUM(K96:K99)</f>
        <v>0</v>
      </c>
      <c r="L100" s="13">
        <f>SUM(L96:L99)</f>
        <v>7</v>
      </c>
    </row>
    <row r="101" spans="1:12" ht="24.6" thickTop="1" x14ac:dyDescent="0.25">
      <c r="A101" s="10" t="s">
        <v>147</v>
      </c>
      <c r="B101" s="11" t="s">
        <v>148</v>
      </c>
      <c r="C101" s="11" t="s">
        <v>149</v>
      </c>
      <c r="D101" s="11"/>
      <c r="E101" s="19"/>
      <c r="F101" s="19"/>
      <c r="G101" s="19"/>
      <c r="H101" s="19"/>
      <c r="I101" s="19"/>
      <c r="J101" s="11" t="s">
        <v>5</v>
      </c>
      <c r="K101" s="11" t="s">
        <v>4</v>
      </c>
      <c r="L101" s="11" t="s">
        <v>3</v>
      </c>
    </row>
    <row r="102" spans="1:12" x14ac:dyDescent="0.25">
      <c r="A102" s="2" t="s">
        <v>102</v>
      </c>
      <c r="B102" s="2">
        <v>1388</v>
      </c>
      <c r="C102" s="2">
        <v>1016</v>
      </c>
      <c r="D102" s="2"/>
      <c r="E102" s="2"/>
      <c r="F102" s="2"/>
      <c r="G102" s="2"/>
      <c r="H102" s="2"/>
      <c r="I102" s="2"/>
      <c r="J102" s="9">
        <v>175</v>
      </c>
      <c r="K102" s="13">
        <v>0</v>
      </c>
      <c r="L102" s="13">
        <v>2</v>
      </c>
    </row>
    <row r="103" spans="1:12" x14ac:dyDescent="0.25">
      <c r="A103" s="2" t="s">
        <v>106</v>
      </c>
      <c r="B103" s="2">
        <v>1252</v>
      </c>
      <c r="C103" s="2">
        <v>920</v>
      </c>
      <c r="D103" s="2"/>
      <c r="E103" s="2"/>
      <c r="F103" s="2"/>
      <c r="G103" s="2"/>
      <c r="H103" s="2"/>
      <c r="I103" s="2"/>
      <c r="J103" s="2">
        <v>129</v>
      </c>
      <c r="K103" s="2">
        <v>0</v>
      </c>
      <c r="L103" s="2">
        <v>0</v>
      </c>
    </row>
    <row r="104" spans="1:12" x14ac:dyDescent="0.25">
      <c r="A104" s="2" t="s">
        <v>110</v>
      </c>
      <c r="B104" s="2">
        <v>779</v>
      </c>
      <c r="C104" s="2">
        <v>513</v>
      </c>
      <c r="D104" s="2"/>
      <c r="E104" s="2"/>
      <c r="F104" s="2"/>
      <c r="G104" s="2"/>
      <c r="H104" s="2"/>
      <c r="I104" s="2"/>
      <c r="J104" s="2">
        <v>88</v>
      </c>
      <c r="K104" s="2">
        <v>0</v>
      </c>
      <c r="L104" s="2">
        <v>0</v>
      </c>
    </row>
    <row r="105" spans="1:12" ht="13.8" thickBot="1" x14ac:dyDescent="0.3">
      <c r="A105" s="15" t="s">
        <v>18</v>
      </c>
      <c r="B105" s="13">
        <f>SUM(B102:B104)</f>
        <v>3419</v>
      </c>
      <c r="C105" s="13">
        <f>SUM(C102:C104)</f>
        <v>2449</v>
      </c>
      <c r="D105" s="13"/>
      <c r="E105" s="13"/>
      <c r="F105" s="13"/>
      <c r="G105" s="13"/>
      <c r="H105" s="13"/>
      <c r="I105" s="13"/>
      <c r="J105" s="13">
        <f>SUM(J102:J104)</f>
        <v>392</v>
      </c>
      <c r="K105" s="13">
        <f>SUM(K102:K104)</f>
        <v>0</v>
      </c>
      <c r="L105" s="13">
        <f>SUM(L102:L104)</f>
        <v>2</v>
      </c>
    </row>
    <row r="106" spans="1:12" s="8" customFormat="1" ht="36.6" thickTop="1" x14ac:dyDescent="0.25">
      <c r="A106" s="10" t="s">
        <v>150</v>
      </c>
      <c r="B106" s="37" t="s">
        <v>151</v>
      </c>
      <c r="C106" s="37" t="s">
        <v>152</v>
      </c>
      <c r="D106" s="37"/>
      <c r="E106" s="22"/>
      <c r="F106" s="22"/>
      <c r="G106" s="22"/>
      <c r="H106" s="22"/>
      <c r="I106" s="22"/>
      <c r="J106" s="11" t="s">
        <v>5</v>
      </c>
      <c r="K106" s="11" t="s">
        <v>4</v>
      </c>
      <c r="L106" s="11" t="s">
        <v>3</v>
      </c>
    </row>
    <row r="107" spans="1:12" s="8" customFormat="1" ht="15" customHeight="1" x14ac:dyDescent="0.25">
      <c r="A107" s="2" t="s">
        <v>114</v>
      </c>
      <c r="B107" s="27">
        <v>1553</v>
      </c>
      <c r="C107" s="7">
        <v>692</v>
      </c>
      <c r="D107" s="7"/>
      <c r="E107" s="7"/>
      <c r="F107" s="7"/>
      <c r="G107" s="7"/>
      <c r="H107" s="7"/>
      <c r="I107" s="7"/>
      <c r="J107" s="9">
        <v>160</v>
      </c>
      <c r="K107" s="13">
        <v>0</v>
      </c>
      <c r="L107" s="13">
        <v>0</v>
      </c>
    </row>
    <row r="108" spans="1:12" s="8" customFormat="1" ht="15" customHeight="1" x14ac:dyDescent="0.25">
      <c r="A108" s="2" t="s">
        <v>132</v>
      </c>
      <c r="B108" s="27">
        <v>1306</v>
      </c>
      <c r="C108" s="7">
        <v>712</v>
      </c>
      <c r="D108" s="7"/>
      <c r="E108" s="7"/>
      <c r="F108" s="7"/>
      <c r="G108" s="7"/>
      <c r="H108" s="7"/>
      <c r="I108" s="7"/>
      <c r="J108" s="7">
        <v>180</v>
      </c>
      <c r="K108" s="7">
        <v>0</v>
      </c>
      <c r="L108" s="2">
        <v>3</v>
      </c>
    </row>
    <row r="109" spans="1:12" s="8" customFormat="1" ht="15" customHeight="1" x14ac:dyDescent="0.25">
      <c r="A109" s="2" t="s">
        <v>136</v>
      </c>
      <c r="B109" s="27">
        <v>1774</v>
      </c>
      <c r="C109" s="7">
        <v>1095</v>
      </c>
      <c r="D109" s="7"/>
      <c r="E109" s="7"/>
      <c r="F109" s="7"/>
      <c r="G109" s="7"/>
      <c r="H109" s="7"/>
      <c r="I109" s="7"/>
      <c r="J109" s="7">
        <v>241</v>
      </c>
      <c r="K109" s="7">
        <v>0</v>
      </c>
      <c r="L109" s="2">
        <v>1</v>
      </c>
    </row>
    <row r="110" spans="1:12" s="8" customFormat="1" ht="15" customHeight="1" thickBot="1" x14ac:dyDescent="0.3">
      <c r="A110" s="15" t="s">
        <v>18</v>
      </c>
      <c r="B110" s="13">
        <f>SUM(B107:B109)</f>
        <v>4633</v>
      </c>
      <c r="C110" s="13">
        <f>SUM(C107:C109)</f>
        <v>2499</v>
      </c>
      <c r="D110" s="17"/>
      <c r="E110" s="17"/>
      <c r="F110" s="17"/>
      <c r="G110" s="17"/>
      <c r="H110" s="17"/>
      <c r="I110" s="17"/>
      <c r="J110" s="13">
        <f>SUM(J107:J109)</f>
        <v>581</v>
      </c>
      <c r="K110" s="13">
        <f>SUM(K107:K109)</f>
        <v>0</v>
      </c>
      <c r="L110" s="13">
        <f>SUM(L107:L109)</f>
        <v>4</v>
      </c>
    </row>
    <row r="111" spans="1:12" s="8" customFormat="1" ht="24.6" thickTop="1" x14ac:dyDescent="0.25">
      <c r="A111" s="23" t="s">
        <v>153</v>
      </c>
      <c r="B111" s="37" t="s">
        <v>154</v>
      </c>
      <c r="C111" s="37" t="s">
        <v>155</v>
      </c>
      <c r="D111" s="37"/>
      <c r="E111" s="22"/>
      <c r="F111" s="22"/>
      <c r="G111" s="22"/>
      <c r="H111" s="22"/>
      <c r="I111" s="22"/>
      <c r="J111" s="11" t="s">
        <v>5</v>
      </c>
      <c r="K111" s="11" t="s">
        <v>4</v>
      </c>
      <c r="L111" s="11" t="s">
        <v>3</v>
      </c>
    </row>
    <row r="112" spans="1:12" x14ac:dyDescent="0.25">
      <c r="A112" s="2" t="s">
        <v>117</v>
      </c>
      <c r="B112" s="28">
        <v>1935</v>
      </c>
      <c r="C112" s="24">
        <v>783</v>
      </c>
      <c r="D112" s="1"/>
      <c r="E112" s="2"/>
      <c r="F112" s="2"/>
      <c r="G112" s="2"/>
      <c r="H112" s="2"/>
      <c r="I112" s="2"/>
      <c r="J112" s="9">
        <v>172</v>
      </c>
      <c r="K112" s="13">
        <v>0</v>
      </c>
      <c r="L112" s="13">
        <v>0</v>
      </c>
    </row>
    <row r="113" spans="1:12" x14ac:dyDescent="0.25">
      <c r="A113" s="2" t="s">
        <v>120</v>
      </c>
      <c r="B113" s="25">
        <v>1208</v>
      </c>
      <c r="C113" s="2">
        <v>720</v>
      </c>
      <c r="D113" s="2"/>
      <c r="E113" s="2"/>
      <c r="F113" s="2"/>
      <c r="G113" s="2"/>
      <c r="H113" s="2"/>
      <c r="I113" s="2"/>
      <c r="J113" s="2">
        <v>189</v>
      </c>
      <c r="K113" s="2">
        <v>0</v>
      </c>
      <c r="L113" s="2">
        <v>6</v>
      </c>
    </row>
    <row r="114" spans="1:12" x14ac:dyDescent="0.25">
      <c r="A114" s="2" t="s">
        <v>124</v>
      </c>
      <c r="B114" s="25">
        <v>1803</v>
      </c>
      <c r="C114" s="2">
        <v>955</v>
      </c>
      <c r="D114" s="2"/>
      <c r="E114" s="2"/>
      <c r="F114" s="2"/>
      <c r="G114" s="2"/>
      <c r="H114" s="2"/>
      <c r="I114" s="2"/>
      <c r="J114" s="2">
        <v>191</v>
      </c>
      <c r="K114" s="2">
        <v>0</v>
      </c>
      <c r="L114" s="2">
        <v>2</v>
      </c>
    </row>
    <row r="115" spans="1:12" x14ac:dyDescent="0.25">
      <c r="A115" s="2" t="s">
        <v>128</v>
      </c>
      <c r="B115" s="25">
        <v>1262</v>
      </c>
      <c r="C115" s="2">
        <v>983</v>
      </c>
      <c r="D115" s="2"/>
      <c r="E115" s="2"/>
      <c r="F115" s="2"/>
      <c r="G115" s="2"/>
      <c r="H115" s="2"/>
      <c r="I115" s="2"/>
      <c r="J115" s="2">
        <v>167</v>
      </c>
      <c r="K115" s="2">
        <v>0</v>
      </c>
      <c r="L115" s="2">
        <v>2</v>
      </c>
    </row>
    <row r="116" spans="1:12" ht="13.8" thickBot="1" x14ac:dyDescent="0.3">
      <c r="A116" s="32" t="s">
        <v>18</v>
      </c>
      <c r="B116" s="33">
        <f>SUM(B112:B115)</f>
        <v>6208</v>
      </c>
      <c r="C116" s="33">
        <f>SUM(C112:C115)</f>
        <v>3441</v>
      </c>
      <c r="D116" s="33"/>
      <c r="E116" s="33"/>
      <c r="F116" s="33"/>
      <c r="G116" s="33"/>
      <c r="H116" s="33"/>
      <c r="I116" s="33"/>
      <c r="J116" s="33">
        <f>SUM(J112:J115)</f>
        <v>719</v>
      </c>
      <c r="K116" s="33">
        <f>SUM(K112:K115)</f>
        <v>0</v>
      </c>
      <c r="L116" s="33">
        <f>SUM(L112:L115)</f>
        <v>10</v>
      </c>
    </row>
    <row r="117" spans="1:12" ht="12.75" customHeight="1" thickTop="1" x14ac:dyDescent="0.25">
      <c r="A117" s="38" t="s">
        <v>156</v>
      </c>
      <c r="B117" s="38"/>
    </row>
  </sheetData>
  <mergeCells count="4">
    <mergeCell ref="A117:B117"/>
    <mergeCell ref="H76:I76"/>
    <mergeCell ref="A2:L2"/>
    <mergeCell ref="A1:L1"/>
  </mergeCells>
  <phoneticPr fontId="3" type="noConversion"/>
  <printOptions gridLines="1"/>
  <pageMargins left="0.5" right="0.25" top="0.5" bottom="0.25" header="0.5" footer="0.5"/>
  <pageSetup orientation="landscape" r:id="rId1"/>
  <headerFooter alignWithMargins="0"/>
  <rowBreaks count="3" manualBreakCount="3">
    <brk id="36" max="16383" man="1"/>
    <brk id="66" max="16383" man="1"/>
    <brk id="9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rmerrimackrep</vt:lpstr>
      <vt:lpstr>rmerrimackrep!Print_Area</vt:lpstr>
      <vt:lpstr>rmerrimackrep!Print_Titles</vt:lpstr>
    </vt:vector>
  </TitlesOfParts>
  <Manager/>
  <Company>State of 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Ladd</dc:creator>
  <cp:keywords/>
  <dc:description/>
  <cp:lastModifiedBy>Kaley Dion</cp:lastModifiedBy>
  <cp:revision/>
  <cp:lastPrinted>2024-11-06T23:35:33Z</cp:lastPrinted>
  <dcterms:created xsi:type="dcterms:W3CDTF">2002-09-04T18:18:08Z</dcterms:created>
  <dcterms:modified xsi:type="dcterms:W3CDTF">2025-05-12T12:10:01Z</dcterms:modified>
  <cp:category/>
  <cp:contentStatus/>
</cp:coreProperties>
</file>